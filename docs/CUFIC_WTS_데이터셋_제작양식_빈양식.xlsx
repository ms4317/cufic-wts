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게임설정" sheetId="2" state="visible" r:id="rId2"/>
    <sheet xmlns:r="http://schemas.openxmlformats.org/officeDocument/2006/relationships" name="종목" sheetId="3" state="visible" r:id="rId3"/>
    <sheet xmlns:r="http://schemas.openxmlformats.org/officeDocument/2006/relationships" name="재무제표" sheetId="4" state="visible" r:id="rId4"/>
    <sheet xmlns:r="http://schemas.openxmlformats.org/officeDocument/2006/relationships" name="힌트" sheetId="5" state="visible" r:id="rId5"/>
    <sheet xmlns:r="http://schemas.openxmlformats.org/officeDocument/2006/relationships" name="시황" sheetId="6" state="visible" r:id="rId6"/>
    <sheet xmlns:r="http://schemas.openxmlformats.org/officeDocument/2006/relationships" name="등락률(자동)" sheetId="7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6B7280"/>
      </patternFill>
    </fill>
    <fill>
      <patternFill patternType="solid">
        <fgColor rgb="00EFF6FF"/>
      </patternFill>
    </fill>
    <fill>
      <patternFill patternType="solid">
        <fgColor rgb="009CA3A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applyProtection="1" numFmtId="0" fontId="2" fillId="3" borderId="1" pivotButton="0" quotePrefix="0" xfId="0">
      <protection locked="0"/>
    </xf>
    <xf numFmtId="0" fontId="6" fillId="4" borderId="1" applyAlignment="1" pivotButton="0" quotePrefix="0" xfId="0">
      <alignment horizontal="center"/>
    </xf>
    <xf applyProtection="1" numFmtId="0" fontId="2" fillId="5" borderId="1" pivotButton="0" quotePrefix="0" xfId="0">
      <protection locked="0"/>
    </xf>
    <xf numFmtId="0" fontId="6" fillId="6" borderId="1" applyAlignment="1" pivotButton="0" quotePrefix="0" xfId="0">
      <alignment horizontal="center"/>
    </xf>
    <xf numFmtId="0" fontId="7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Type="http://schemas.openxmlformats.org/officeDocument/2006/relationships/worksheet" Target="/xl/worksheets/sheet7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CUFIC WTS 게임 데이터셋 제작 양식 (v4)</t>
        </is>
      </c>
    </row>
    <row r="2"/>
    <row r="3">
      <c r="A3" s="2" t="inlineStr">
        <is>
          <t>이 파일의 시트 5개를 채우면 게임 한 판이 완성됩니다.</t>
        </is>
      </c>
    </row>
    <row r="4">
      <c r="A4" s="3" t="inlineStr">
        <is>
          <t>노란 칸 = 꼭 채우는 곳 / 파란 칸 = 선택 (비워도 됨, 헤더에 "(선택)" 표시)</t>
        </is>
      </c>
    </row>
    <row r="5">
      <c r="A5" s="2" t="inlineStr">
        <is>
          <t>지금 들어있는 내용은 "기본 데이터셋 (2025)" 예시입니다 — 지우지 말고 고쳐 쓰는 걸 추천해요.</t>
        </is>
      </c>
    </row>
    <row r="6">
      <c r="A6" s="2" t="inlineStr">
        <is>
          <t>종목·힌트 개수는 자유입니다. 행을 추가/삭제하면 그대로 게임 구성이 돼요. (힌트는 라운드당 등급별 1개 이상 권장)</t>
        </is>
      </c>
    </row>
    <row r="7"/>
    <row r="8">
      <c r="A8" s="4" t="inlineStr">
        <is>
          <t>★ 가격은 두 가지 방법으로 쓸 수 있어요</t>
        </is>
      </c>
    </row>
    <row r="9">
      <c r="A9" s="2" t="inlineStr">
        <is>
          <t xml:space="preserve">  · 그냥 숫자 = 가격(원)  (예: 7300)</t>
        </is>
      </c>
    </row>
    <row r="10">
      <c r="A10" s="2" t="inlineStr">
        <is>
          <t xml:space="preserve">  · %를 붙이면 = 전년 대비 등락률 → 업로드할 때 자동으로 가격으로 계산돼요  (예: +80%, -25%)</t>
        </is>
      </c>
    </row>
    <row r="11">
      <c r="A11" s="2" t="inlineStr">
        <is>
          <t xml:space="preserve">  · 단, 종목이 처음 등장하는 연도는 반드시 가격(숫자)으로! (기준점이 필요해요)</t>
        </is>
      </c>
    </row>
    <row r="12">
      <c r="A12" s="2" t="inlineStr">
        <is>
          <t xml:space="preserve">  · 섞어 써도 됩니다: 2020=7300, 2021=+80%, 2022=17700 처럼</t>
        </is>
      </c>
    </row>
    <row r="13"/>
    <row r="14">
      <c r="A14" s="4" t="inlineStr">
        <is>
          <t>작성 순서 (이 순서대로!)</t>
        </is>
      </c>
    </row>
    <row r="15">
      <c r="A15" s="2" t="inlineStr">
        <is>
          <t xml:space="preserve">  ① 게임설정 — 라운드 수·연도·시드 확정</t>
        </is>
      </c>
    </row>
    <row r="16">
      <c r="A16" s="2" t="inlineStr">
        <is>
          <t xml:space="preserve">  ② 종목 — 종목 이름·소개와 연도별 가격 (게임의 뼈대. 가격을 먼저 완성해야 힌트를 맞출 수 있어요)</t>
        </is>
      </c>
    </row>
    <row r="17">
      <c r="A17" s="2" t="inlineStr">
        <is>
          <t xml:space="preserve">  ③ 재무제표 — 가격 흐름과 방향이 맞게 (주가 떨어지는 해에 실적이 좋아지면 안 돼요)</t>
        </is>
      </c>
    </row>
    <row r="18">
      <c r="A18" s="2" t="inlineStr">
        <is>
          <t xml:space="preserve">  ④ 힌트 — 라운드×등급별. ★제일 중요: R라운드 힌트는 "그 해 → 다음 해" 변동의 예고예요</t>
        </is>
      </c>
    </row>
    <row r="19">
      <c r="A19" s="2" t="inlineStr">
        <is>
          <t xml:space="preserve">  ⑤ 시황 — 연도별 거시 지표 (실제 역사 기반이면 사실에 가깝게)</t>
        </is>
      </c>
    </row>
    <row r="20"/>
    <row r="21">
      <c r="A21" s="4" t="inlineStr">
        <is>
          <t>꼭 지킬 규칙</t>
        </is>
      </c>
    </row>
    <row r="22">
      <c r="A22" s="2" t="inlineStr">
        <is>
          <t xml:space="preserve">  · 가격 0 또는 빈칸 = 거래정지/상장폐지로 동작 (의도할 때만!) — 0인 해 다음에는 %를 쓸 수 없어요</t>
        </is>
      </c>
    </row>
    <row r="23">
      <c r="A23" s="2" t="inlineStr">
        <is>
          <t xml:space="preserve">  · 신규상장 종목은 상장 전 연도 가격을 비워두세요</t>
        </is>
      </c>
    </row>
    <row r="24">
      <c r="A24" s="2" t="inlineStr">
        <is>
          <t xml:space="preserve">  · 힌트의 "방향·관련 종목"은 선택이지만, 채우면 업로드할 때 문구↔실제 등락 모순을 자동으로 잡아줘요</t>
        </is>
      </c>
    </row>
    <row r="25">
      <c r="A25" s="2" t="inlineStr">
        <is>
          <t xml:space="preserve">    (특정 종목을 가리키는 힌트라면 채우는 걸 강력 추천!)</t>
        </is>
      </c>
    </row>
    <row r="26">
      <c r="A26" s="2" t="inlineStr">
        <is>
          <t xml:space="preserve">  · 다 채우면 개발팀에 전달 → 관리자 화면 업로드 → 자동 검증 → 데이터셋 완성</t>
        </is>
      </c>
    </row>
    <row r="27">
      <c r="A27" s="2" t="inlineStr">
        <is>
          <t xml:space="preserve">  · 재무제표 시트의 회색 열은 자동계산이에요 — 입력하면서 자본·이익·비율을 바로 확인하세요 (자본잠식이 뜨면 부채가 자산보다 큰 거예요)</t>
        </is>
      </c>
    </row>
    <row r="29"/>
    <row r="30">
      <c r="A30" s="5" t="inlineStr">
        <is>
          <t>━━━ ★ 자동 연결 양식 사용 규칙 ★ ━━━</t>
        </is>
      </c>
    </row>
    <row r="31">
      <c r="A31" s="5" t="inlineStr">
        <is>
          <t>① 정품 Excel 또는 구글시트에서 작업하고 반드시 "저장" 하세요 (뷰어·비인증 Excel은 자동 계산이 안 됨).</t>
        </is>
      </c>
    </row>
    <row r="32">
      <c r="A32" s="5" t="inlineStr">
        <is>
          <t>② 종목 목록을 먼저 확정한 뒤 재무를 채우세요. 재무 입력 후에는 종목을 중간에 삽입·순서변경 금지 — 추가는 맨 아래에만.</t>
        </is>
      </c>
    </row>
    <row r="33">
      <c r="A33" s="5" t="inlineStr">
        <is>
          <t>③ 회색 칸(ID·연도·자동계산·등락률)은 잠겨 있어요. 크림색 입력 칸만 채우면 됩니다. (필요하면 검토 &gt; 시트 보호 해제)</t>
        </is>
      </c>
    </row>
    <row r="34">
      <c r="A34" s="5" t="inlineStr">
        <is>
          <t>④ 이 양식은 5라운드 + 최종연도(총 6개 연도) 기준입니다. 연도 값은 게임설정에서 바꾸면 전 시트에 따라옵니다.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① 게임설정</t>
        </is>
      </c>
    </row>
    <row r="2">
      <c r="A2" s="5" t="inlineStr">
        <is>
          <t>항목 이름(A열)은 바꾸지 말고 값(B열)만 수정하세요. 라운드 연도는 ②종목 시트의 가격 열과 일치해야 해요.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총 라운드 수</t>
        </is>
      </c>
      <c r="B5" s="7" t="n">
        <v>5</v>
      </c>
      <c r="C5" s="7" t="inlineStr">
        <is>
          <t>보통 5</t>
        </is>
      </c>
    </row>
    <row r="6">
      <c r="A6" s="7" t="inlineStr">
        <is>
          <t>시작 시드머니(원)</t>
        </is>
      </c>
      <c r="B6" s="7" t="n">
        <v>100000000</v>
      </c>
      <c r="C6" s="7" t="inlineStr">
        <is>
          <t>전 조 동일</t>
        </is>
      </c>
    </row>
    <row r="7">
      <c r="A7" s="7" t="inlineStr">
        <is>
          <t>타이머(초)</t>
        </is>
      </c>
      <c r="B7" s="7" t="n">
        <v>600</v>
      </c>
      <c r="C7" s="7" t="inlineStr">
        <is>
          <t>600 = 10분</t>
        </is>
      </c>
    </row>
    <row r="8">
      <c r="A8" s="7" t="inlineStr">
        <is>
          <t>최종 정산 연도</t>
        </is>
      </c>
      <c r="B8" s="7" t="n">
        <v>2025</v>
      </c>
      <c r="C8" s="7" t="inlineStr">
        <is>
          <t>대회 종료 시 이 연도 가격으로 최종 평가</t>
        </is>
      </c>
    </row>
    <row r="9">
      <c r="A9" s="7" t="inlineStr">
        <is>
          <t>R1 연도</t>
        </is>
      </c>
      <c r="B9" s="7" t="n">
        <v>2020</v>
      </c>
      <c r="C9" s="7" t="inlineStr">
        <is>
          <t>1라운드에서 거래하는 연도</t>
        </is>
      </c>
    </row>
    <row r="10">
      <c r="A10" s="7" t="inlineStr">
        <is>
          <t>R2 연도</t>
        </is>
      </c>
      <c r="B10" s="7" t="n">
        <v>2021</v>
      </c>
      <c r="C10" s="7" t="inlineStr">
        <is>
          <t>2라운드에서 거래하는 연도</t>
        </is>
      </c>
    </row>
    <row r="11">
      <c r="A11" s="7" t="inlineStr">
        <is>
          <t>R3 연도</t>
        </is>
      </c>
      <c r="B11" s="7" t="n">
        <v>2022</v>
      </c>
      <c r="C11" s="7" t="inlineStr">
        <is>
          <t>3라운드에서 거래하는 연도</t>
        </is>
      </c>
    </row>
    <row r="12">
      <c r="A12" s="7" t="inlineStr">
        <is>
          <t>R4 연도</t>
        </is>
      </c>
      <c r="B12" s="7" t="n">
        <v>2023</v>
      </c>
      <c r="C12" s="7" t="inlineStr">
        <is>
          <t>4라운드에서 거래하는 연도</t>
        </is>
      </c>
    </row>
    <row r="13">
      <c r="A13" s="7" t="inlineStr">
        <is>
          <t>R5 연도</t>
        </is>
      </c>
      <c r="B13" s="7" t="n">
        <v>2024</v>
      </c>
      <c r="C13" s="7" t="inlineStr">
        <is>
          <t>5라운드에서 거래하는 연도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② 종목과 연도별 가격</t>
        </is>
      </c>
    </row>
    <row r="2">
      <c r="A2" s="5" t="inlineStr">
        <is>
          <t>한 행 = 종목 하나. ID는 S01, S02… 순서로. 가격 칸: 숫자=가격(원), %붙이면=전년 대비 등락률(예: +80%). 첫 등장 연도는 반드시 가격! 빈칸/0 = 거래정지·미상장. 행 추가/삭제 자유.</t>
        </is>
      </c>
    </row>
    <row r="4">
      <c r="A4" s="6" t="inlineStr">
        <is>
          <t>ID</t>
        </is>
      </c>
      <c r="B4" s="6" t="inlineStr">
        <is>
          <t>종목명</t>
        </is>
      </c>
      <c r="C4" s="6" t="inlineStr">
        <is>
          <t>한 줄 소개</t>
        </is>
      </c>
      <c r="D4" s="8" t="inlineStr">
        <is>
          <t>업종 (선택)</t>
        </is>
      </c>
      <c r="E4" s="6" t="inlineStr">
        <is>
          <t>상장라운드</t>
        </is>
      </c>
      <c r="F4" s="6" t="str">
        <f>게임설정!$B$9&amp;"년 가격"</f>
        <v>2020년 가격</v>
      </c>
      <c r="G4" s="6" t="str">
        <f>게임설정!$B$10&amp;"년 가격"</f>
        <v>2021년 가격</v>
      </c>
      <c r="H4" s="6" t="str">
        <f>게임설정!$B$11&amp;"년 가격"</f>
        <v>2022년 가격</v>
      </c>
      <c r="I4" s="6" t="str">
        <f>게임설정!$B$12&amp;"년 가격"</f>
        <v>2023년 가격</v>
      </c>
      <c r="J4" s="6" t="str">
        <f>게임설정!$B$13&amp;"년 가격"</f>
        <v>2024년 가격</v>
      </c>
      <c r="K4" s="6" t="str">
        <f>게임설정!$B$8&amp;"년 가격"</f>
        <v>2025년 가격</v>
      </c>
    </row>
    <row r="5">
      <c r="A5" s="7"/>
      <c r="B5" s="7"/>
      <c r="C5" s="7"/>
      <c r="D5" s="9"/>
      <c r="E5" s="7"/>
      <c r="F5" s="7"/>
      <c r="G5" s="7"/>
      <c r="H5" s="7"/>
      <c r="I5" s="7"/>
      <c r="J5" s="7"/>
      <c r="K5" s="7"/>
    </row>
    <row r="6">
      <c r="A6" s="7"/>
      <c r="B6" s="7"/>
      <c r="C6" s="7"/>
      <c r="D6" s="9"/>
      <c r="E6" s="7"/>
      <c r="F6" s="7"/>
      <c r="G6" s="7"/>
      <c r="H6" s="7"/>
      <c r="I6" s="7"/>
      <c r="J6" s="7"/>
      <c r="K6" s="7"/>
    </row>
    <row r="7">
      <c r="A7" s="7"/>
      <c r="B7" s="7"/>
      <c r="C7" s="7"/>
      <c r="D7" s="9"/>
      <c r="E7" s="7"/>
      <c r="F7" s="7"/>
      <c r="G7" s="7"/>
      <c r="H7" s="7"/>
      <c r="I7" s="7"/>
      <c r="J7" s="7"/>
      <c r="K7" s="7"/>
    </row>
    <row r="8">
      <c r="A8" s="7"/>
      <c r="B8" s="7"/>
      <c r="C8" s="7"/>
      <c r="D8" s="9"/>
      <c r="E8" s="7"/>
      <c r="F8" s="7"/>
      <c r="G8" s="7"/>
      <c r="H8" s="7"/>
      <c r="I8" s="7"/>
      <c r="J8" s="7"/>
      <c r="K8" s="7"/>
    </row>
    <row r="9">
      <c r="A9" s="7"/>
      <c r="B9" s="7"/>
      <c r="C9" s="7"/>
      <c r="D9" s="9"/>
      <c r="E9" s="7"/>
      <c r="F9" s="7"/>
      <c r="G9" s="7"/>
      <c r="H9" s="7"/>
      <c r="I9" s="7"/>
      <c r="J9" s="7"/>
      <c r="K9" s="7"/>
    </row>
    <row r="10">
      <c r="A10" s="7"/>
      <c r="B10" s="7"/>
      <c r="C10" s="7"/>
      <c r="D10" s="9"/>
      <c r="E10" s="7"/>
      <c r="F10" s="7"/>
      <c r="G10" s="7"/>
      <c r="H10" s="7"/>
      <c r="I10" s="7"/>
      <c r="J10" s="7"/>
      <c r="K10" s="7"/>
    </row>
    <row r="11">
      <c r="A11" s="7"/>
      <c r="B11" s="7"/>
      <c r="C11" s="7"/>
      <c r="D11" s="9"/>
      <c r="E11" s="7"/>
      <c r="F11" s="7"/>
      <c r="G11" s="7"/>
      <c r="H11" s="7"/>
      <c r="I11" s="7"/>
      <c r="J11" s="7"/>
      <c r="K11" s="7"/>
    </row>
    <row r="12">
      <c r="A12" s="7"/>
      <c r="B12" s="7"/>
      <c r="C12" s="7"/>
      <c r="D12" s="9"/>
      <c r="E12" s="7"/>
      <c r="F12" s="7"/>
      <c r="G12" s="7"/>
      <c r="H12" s="7"/>
      <c r="I12" s="7"/>
      <c r="J12" s="7"/>
      <c r="K12" s="7"/>
    </row>
    <row r="13">
      <c r="A13" s="7"/>
      <c r="B13" s="7"/>
      <c r="C13" s="7"/>
      <c r="D13" s="9"/>
      <c r="E13" s="7"/>
      <c r="F13" s="7"/>
      <c r="G13" s="7"/>
      <c r="H13" s="7"/>
      <c r="I13" s="7"/>
      <c r="J13" s="7"/>
      <c r="K13" s="7"/>
    </row>
    <row r="14">
      <c r="A14" s="7"/>
      <c r="B14" s="7"/>
      <c r="C14" s="7"/>
      <c r="D14" s="9"/>
      <c r="E14" s="7"/>
      <c r="F14" s="7"/>
      <c r="G14" s="7"/>
      <c r="H14" s="7"/>
      <c r="I14" s="7"/>
      <c r="J14" s="7"/>
      <c r="K14" s="7"/>
    </row>
    <row r="15">
      <c r="A15" s="7"/>
      <c r="B15" s="7"/>
      <c r="C15" s="7"/>
      <c r="D15" s="9"/>
      <c r="E15" s="7"/>
      <c r="F15" s="7"/>
      <c r="G15" s="7"/>
      <c r="H15" s="7"/>
      <c r="I15" s="7"/>
      <c r="J15" s="7"/>
      <c r="K15" s="7"/>
    </row>
    <row r="16">
      <c r="A16" s="7"/>
      <c r="B16" s="7"/>
      <c r="C16" s="7"/>
      <c r="D16" s="9"/>
      <c r="E16" s="7"/>
      <c r="F16" s="7"/>
      <c r="G16" s="7"/>
      <c r="H16" s="7"/>
      <c r="I16" s="7"/>
      <c r="J16" s="7"/>
      <c r="K16" s="7"/>
    </row>
    <row r="17">
      <c r="A17" s="7"/>
      <c r="B17" s="7"/>
      <c r="C17" s="7"/>
      <c r="D17" s="9"/>
      <c r="E17" s="7"/>
      <c r="F17" s="7"/>
      <c r="G17" s="7"/>
      <c r="H17" s="7"/>
      <c r="I17" s="7"/>
      <c r="J17" s="7"/>
      <c r="K17" s="7"/>
    </row>
    <row r="18">
      <c r="A18" s="7"/>
      <c r="B18" s="7"/>
      <c r="C18" s="7"/>
      <c r="D18" s="9"/>
      <c r="E18" s="7"/>
      <c r="F18" s="7"/>
      <c r="G18" s="7"/>
      <c r="H18" s="7"/>
      <c r="I18" s="7"/>
      <c r="J18" s="7"/>
      <c r="K18" s="7"/>
    </row>
    <row r="19">
      <c r="A19" s="7"/>
      <c r="B19" s="7"/>
      <c r="C19" s="7"/>
      <c r="D19" s="9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9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9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9"/>
      <c r="E22" s="7"/>
      <c r="F22" s="7"/>
      <c r="G22" s="7"/>
      <c r="H22" s="7"/>
      <c r="I22" s="7"/>
      <c r="J22" s="7"/>
      <c r="K22" s="7"/>
    </row>
    <row r="23">
      <c r="A23" s="7"/>
      <c r="B23" s="7"/>
      <c r="C23" s="7"/>
      <c r="D23" s="9"/>
      <c r="E23" s="7"/>
      <c r="F23" s="7"/>
      <c r="G23" s="7"/>
      <c r="H23" s="7"/>
      <c r="I23" s="7"/>
      <c r="J23" s="7"/>
      <c r="K23" s="7"/>
    </row>
    <row r="24">
      <c r="A24" s="7"/>
      <c r="B24" s="7"/>
      <c r="C24" s="7"/>
      <c r="D24" s="9"/>
      <c r="E24" s="7"/>
      <c r="F24" s="7"/>
      <c r="G24" s="7"/>
      <c r="H24" s="7"/>
      <c r="I24" s="7"/>
      <c r="J24" s="7"/>
      <c r="K24" s="7"/>
    </row>
    <row r="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</row>
    <row r="26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</row>
    <row r="27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</row>
    <row r="28">
      <c r="A28" s="7"/>
      <c r="B28" s="7"/>
      <c r="C28" s="7"/>
      <c r="D28" s="9"/>
      <c r="E28" s="7"/>
      <c r="F28" s="7"/>
      <c r="G28" s="7"/>
      <c r="H28" s="7"/>
      <c r="I28" s="7"/>
      <c r="J28" s="7"/>
      <c r="K28" s="7"/>
    </row>
    <row r="29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</row>
    <row r="30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</row>
    <row r="31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</row>
    <row r="32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</row>
    <row r="33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</row>
    <row r="34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</row>
    <row r="3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</row>
    <row r="36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</row>
    <row r="41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</row>
    <row r="42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</row>
    <row r="43">
      <c r="A43" s="7"/>
      <c r="B43" s="7"/>
      <c r="C43" s="7"/>
      <c r="D43" s="9"/>
      <c r="E43" s="7"/>
      <c r="F43" s="7"/>
      <c r="G43" s="7"/>
      <c r="H43" s="7"/>
      <c r="I43" s="7"/>
      <c r="J43" s="7"/>
      <c r="K43" s="7"/>
    </row>
    <row r="44">
      <c r="A44" s="7"/>
      <c r="B44" s="7"/>
      <c r="C44" s="7"/>
      <c r="D44" s="9"/>
      <c r="E44" s="7"/>
      <c r="F44" s="7"/>
      <c r="G44" s="7"/>
      <c r="H44" s="7"/>
      <c r="I44" s="7"/>
      <c r="J44" s="7"/>
      <c r="K44" s="7"/>
    </row>
    <row r="45">
      <c r="A45" s="7"/>
      <c r="B45" s="7"/>
      <c r="C45" s="7"/>
      <c r="D45" s="9"/>
      <c r="E45" s="7"/>
      <c r="F45" s="7"/>
      <c r="G45" s="7"/>
      <c r="H45" s="7"/>
      <c r="I45" s="7"/>
      <c r="J45" s="7"/>
      <c r="K45" s="7"/>
    </row>
    <row r="46">
      <c r="A46" s="7"/>
      <c r="B46" s="7"/>
      <c r="C46" s="7"/>
      <c r="D46" s="9"/>
      <c r="E46" s="7"/>
      <c r="F46" s="7"/>
      <c r="G46" s="7"/>
      <c r="H46" s="7"/>
      <c r="I46" s="7"/>
      <c r="J46" s="7"/>
      <c r="K46" s="7"/>
    </row>
    <row r="47">
      <c r="A47" s="7"/>
      <c r="B47" s="7"/>
      <c r="C47" s="7"/>
      <c r="D47" s="9"/>
      <c r="E47" s="7"/>
      <c r="F47" s="7"/>
      <c r="G47" s="7"/>
      <c r="H47" s="7"/>
      <c r="I47" s="7"/>
      <c r="J47" s="7"/>
      <c r="K47" s="7"/>
    </row>
    <row r="48">
      <c r="A48" s="7"/>
      <c r="B48" s="7"/>
      <c r="C48" s="7"/>
      <c r="D48" s="9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9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9"/>
      <c r="E50" s="7"/>
      <c r="F50" s="7"/>
      <c r="G50" s="7"/>
      <c r="H50" s="7"/>
      <c r="I50" s="7"/>
      <c r="J50" s="7"/>
      <c r="K50" s="7"/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pane ySplit="4" topLeftCell="A5" activePane="bottomLeft" state="frozen"/>
      <selection pane="bottomLeft" activeCell="D5" sqref="D5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11" customWidth="1" min="4" max="10"/>
    <col width="11" customWidth="1" min="11" max="17"/>
  </cols>
  <sheetData>
    <row r="1">
      <c r="A1" s="1" t="inlineStr">
        <is>
          <t>③ 재무제표 (종목 × 연도) — 자동 연결</t>
        </is>
      </c>
    </row>
    <row r="2">
      <c r="A2" s="5" t="inlineStr">
        <is>
          <t>ID·종목명·연도는 종목 시트에서 자동으로 채워집니다(회색). 여러분은 크림색 입력 7칸(억원)만 채우세요. 미상장·폐지 연도는 빈 칸으로 두면 됩니다. ★종목 목록을 먼저 확정한 뒤 채우세요.</t>
        </is>
      </c>
    </row>
    <row r="4">
      <c r="A4" s="6" t="inlineStr">
        <is>
          <t>종목ID</t>
        </is>
      </c>
      <c r="B4" s="6" t="inlineStr">
        <is>
          <t>종목명</t>
        </is>
      </c>
      <c r="C4" s="6" t="inlineStr">
        <is>
          <t>연도</t>
        </is>
      </c>
      <c r="D4" s="6" t="inlineStr">
        <is>
          <t>유동자산(억)</t>
        </is>
      </c>
      <c r="E4" s="6" t="inlineStr">
        <is>
          <t>비유동자산(억)</t>
        </is>
      </c>
      <c r="F4" s="6" t="inlineStr">
        <is>
          <t>유동부채(억)</t>
        </is>
      </c>
      <c r="G4" s="6" t="inlineStr">
        <is>
          <t>비유동부채(억)</t>
        </is>
      </c>
      <c r="H4" s="6" t="inlineStr">
        <is>
          <t>매출(억)</t>
        </is>
      </c>
      <c r="I4" s="6" t="inlineStr">
        <is>
          <t>영업비용(억)</t>
        </is>
      </c>
      <c r="J4" s="6" t="inlineStr">
        <is>
          <t>영업외비용(억)</t>
        </is>
      </c>
      <c r="K4" s="6" t="inlineStr">
        <is>
          <t>자산합계 ※자동</t>
        </is>
      </c>
      <c r="L4" s="6" t="inlineStr">
        <is>
          <t>부채합계 ※자동</t>
        </is>
      </c>
      <c r="M4" s="6" t="inlineStr">
        <is>
          <t>자본 ※자동</t>
        </is>
      </c>
      <c r="N4" s="6" t="inlineStr">
        <is>
          <t>영업이익 ※자동</t>
        </is>
      </c>
      <c r="O4" s="6" t="inlineStr">
        <is>
          <t>당기순이익 ※자동</t>
        </is>
      </c>
      <c r="P4" s="6" t="inlineStr">
        <is>
          <t>부채비율(%) ※자동</t>
        </is>
      </c>
      <c r="Q4" s="6" t="inlineStr">
        <is>
          <t>ROE(%) ※자동</t>
        </is>
      </c>
    </row>
    <row r="5">
      <c r="A5" s="11" t="str">
        <f>IF(종목!A5="","",종목!A5)</f>
      </c>
      <c r="B5" s="11" t="str">
        <f>IF(종목!A5="","",종목!B5)</f>
      </c>
      <c r="C5" s="11">
        <f>IF(종목!A5="","",게임설정!$B$9)</f>
      </c>
      <c r="D5" s="7"/>
      <c r="E5" s="7"/>
      <c r="F5" s="7"/>
      <c r="G5" s="7"/>
      <c r="H5" s="7"/>
      <c r="I5" s="7"/>
      <c r="J5" s="7"/>
      <c r="K5" s="11">
        <f>IF(D5="","",D5+E5)</f>
      </c>
      <c r="L5" s="11">
        <f>IF(F5="","",F5+G5)</f>
      </c>
      <c r="M5" s="11">
        <f>IF(K5="","",K5-L5)</f>
      </c>
      <c r="N5" s="11">
        <f>IF(H5="","",H5-I5)</f>
      </c>
      <c r="O5" s="11">
        <f>IF(N5="","",N5-J5)</f>
      </c>
      <c r="P5" s="11">
        <f>IF(OR(M5="",M5&lt;=0),"자본잠식",ROUND(L5/M5*100,1))</f>
      </c>
      <c r="Q5" s="11">
        <f>IF(OR(M5="",M5&lt;=0),"—",ROUND(O5/M5*100,1))</f>
      </c>
    </row>
    <row r="6">
      <c r="A6" s="11" t="str">
        <f>IF(종목!A5="","",종목!A5)</f>
      </c>
      <c r="B6" s="11" t="str">
        <f>IF(종목!A5="","",종목!B5)</f>
      </c>
      <c r="C6" s="11">
        <f>IF(종목!A5="","",게임설정!$B$10)</f>
      </c>
      <c r="D6" s="7"/>
      <c r="E6" s="7"/>
      <c r="F6" s="7"/>
      <c r="G6" s="7"/>
      <c r="H6" s="7"/>
      <c r="I6" s="7"/>
      <c r="J6" s="7"/>
      <c r="K6" s="11">
        <f>IF(D6="","",D6+E6)</f>
      </c>
      <c r="L6" s="11">
        <f>IF(F6="","",F6+G6)</f>
      </c>
      <c r="M6" s="11">
        <f>IF(K6="","",K6-L6)</f>
      </c>
      <c r="N6" s="11">
        <f>IF(H6="","",H6-I6)</f>
      </c>
      <c r="O6" s="11">
        <f>IF(N6="","",N6-J6)</f>
      </c>
      <c r="P6" s="11">
        <f>IF(OR(M6="",M6&lt;=0),"자본잠식",ROUND(L6/M6*100,1))</f>
      </c>
      <c r="Q6" s="11">
        <f>IF(OR(M6="",M6&lt;=0),"—",ROUND(O6/M6*100,1))</f>
      </c>
    </row>
    <row r="7">
      <c r="A7" s="11" t="str">
        <f>IF(종목!A5="","",종목!A5)</f>
      </c>
      <c r="B7" s="11" t="str">
        <f>IF(종목!A5="","",종목!B5)</f>
      </c>
      <c r="C7" s="11">
        <f>IF(종목!A5="","",게임설정!$B$11)</f>
      </c>
      <c r="D7" s="7"/>
      <c r="E7" s="7"/>
      <c r="F7" s="7"/>
      <c r="G7" s="7"/>
      <c r="H7" s="7"/>
      <c r="I7" s="7"/>
      <c r="J7" s="7"/>
      <c r="K7" s="11">
        <f>IF(D7="","",D7+E7)</f>
      </c>
      <c r="L7" s="11">
        <f>IF(F7="","",F7+G7)</f>
      </c>
      <c r="M7" s="11">
        <f>IF(K7="","",K7-L7)</f>
      </c>
      <c r="N7" s="11">
        <f>IF(H7="","",H7-I7)</f>
      </c>
      <c r="O7" s="11">
        <f>IF(N7="","",N7-J7)</f>
      </c>
      <c r="P7" s="11">
        <f>IF(OR(M7="",M7&lt;=0),"자본잠식",ROUND(L7/M7*100,1))</f>
      </c>
      <c r="Q7" s="11">
        <f>IF(OR(M7="",M7&lt;=0),"—",ROUND(O7/M7*100,1))</f>
      </c>
    </row>
    <row r="8">
      <c r="A8" s="11" t="str">
        <f>IF(종목!A5="","",종목!A5)</f>
      </c>
      <c r="B8" s="11" t="str">
        <f>IF(종목!A5="","",종목!B5)</f>
      </c>
      <c r="C8" s="11">
        <f>IF(종목!A5="","",게임설정!$B$12)</f>
      </c>
      <c r="D8" s="7"/>
      <c r="E8" s="7"/>
      <c r="F8" s="7"/>
      <c r="G8" s="7"/>
      <c r="H8" s="7"/>
      <c r="I8" s="7"/>
      <c r="J8" s="7"/>
      <c r="K8" s="11">
        <f>IF(D8="","",D8+E8)</f>
      </c>
      <c r="L8" s="11">
        <f>IF(F8="","",F8+G8)</f>
      </c>
      <c r="M8" s="11">
        <f>IF(K8="","",K8-L8)</f>
      </c>
      <c r="N8" s="11">
        <f>IF(H8="","",H8-I8)</f>
      </c>
      <c r="O8" s="11">
        <f>IF(N8="","",N8-J8)</f>
      </c>
      <c r="P8" s="11">
        <f>IF(OR(M8="",M8&lt;=0),"자본잠식",ROUND(L8/M8*100,1))</f>
      </c>
      <c r="Q8" s="11">
        <f>IF(OR(M8="",M8&lt;=0),"—",ROUND(O8/M8*100,1))</f>
      </c>
    </row>
    <row r="9">
      <c r="A9" s="11" t="str">
        <f>IF(종목!A5="","",종목!A5)</f>
      </c>
      <c r="B9" s="11" t="str">
        <f>IF(종목!A5="","",종목!B5)</f>
      </c>
      <c r="C9" s="11">
        <f>IF(종목!A5="","",게임설정!$B$13)</f>
      </c>
      <c r="D9" s="7"/>
      <c r="E9" s="7"/>
      <c r="F9" s="7"/>
      <c r="G9" s="7"/>
      <c r="H9" s="7"/>
      <c r="I9" s="7"/>
      <c r="J9" s="7"/>
      <c r="K9" s="11">
        <f>IF(D9="","",D9+E9)</f>
      </c>
      <c r="L9" s="11">
        <f>IF(F9="","",F9+G9)</f>
      </c>
      <c r="M9" s="11">
        <f>IF(K9="","",K9-L9)</f>
      </c>
      <c r="N9" s="11">
        <f>IF(H9="","",H9-I9)</f>
      </c>
      <c r="O9" s="11">
        <f>IF(N9="","",N9-J9)</f>
      </c>
      <c r="P9" s="11">
        <f>IF(OR(M9="",M9&lt;=0),"자본잠식",ROUND(L9/M9*100,1))</f>
      </c>
      <c r="Q9" s="11">
        <f>IF(OR(M9="",M9&lt;=0),"—",ROUND(O9/M9*100,1))</f>
      </c>
    </row>
    <row r="10">
      <c r="A10" s="11" t="str">
        <f>IF(종목!A5="","",종목!A5)</f>
      </c>
      <c r="B10" s="11" t="str">
        <f>IF(종목!A5="","",종목!B5)</f>
      </c>
      <c r="C10" s="11">
        <f>IF(종목!A5="","",게임설정!$B$8)</f>
      </c>
      <c r="D10" s="7"/>
      <c r="E10" s="7"/>
      <c r="F10" s="7"/>
      <c r="G10" s="7"/>
      <c r="H10" s="7"/>
      <c r="I10" s="7"/>
      <c r="J10" s="7"/>
      <c r="K10" s="11">
        <f>IF(D10="","",D10+E10)</f>
      </c>
      <c r="L10" s="11">
        <f>IF(F10="","",F10+G10)</f>
      </c>
      <c r="M10" s="11">
        <f>IF(K10="","",K10-L10)</f>
      </c>
      <c r="N10" s="11">
        <f>IF(H10="","",H10-I10)</f>
      </c>
      <c r="O10" s="11">
        <f>IF(N10="","",N10-J10)</f>
      </c>
      <c r="P10" s="11">
        <f>IF(OR(M10="",M10&lt;=0),"자본잠식",ROUND(L10/M10*100,1))</f>
      </c>
      <c r="Q10" s="11">
        <f>IF(OR(M10="",M10&lt;=0),"—",ROUND(O10/M10*100,1))</f>
      </c>
    </row>
    <row r="11">
      <c r="A11" s="11" t="str">
        <f>IF(종목!A6="","",종목!A6)</f>
      </c>
      <c r="B11" s="11" t="str">
        <f>IF(종목!A6="","",종목!B6)</f>
      </c>
      <c r="C11" s="11">
        <f>IF(종목!A6="","",게임설정!$B$9)</f>
      </c>
      <c r="D11" s="7"/>
      <c r="E11" s="7"/>
      <c r="F11" s="7"/>
      <c r="G11" s="7"/>
      <c r="H11" s="7"/>
      <c r="I11" s="7"/>
      <c r="J11" s="7"/>
      <c r="K11" s="11">
        <f>IF(D11="","",D11+E11)</f>
      </c>
      <c r="L11" s="11">
        <f>IF(F11="","",F11+G11)</f>
      </c>
      <c r="M11" s="11">
        <f>IF(K11="","",K11-L11)</f>
      </c>
      <c r="N11" s="11">
        <f>IF(H11="","",H11-I11)</f>
      </c>
      <c r="O11" s="11">
        <f>IF(N11="","",N11-J11)</f>
      </c>
      <c r="P11" s="11">
        <f>IF(OR(M11="",M11&lt;=0),"자본잠식",ROUND(L11/M11*100,1))</f>
      </c>
      <c r="Q11" s="11">
        <f>IF(OR(M11="",M11&lt;=0),"—",ROUND(O11/M11*100,1))</f>
      </c>
    </row>
    <row r="12">
      <c r="A12" s="11" t="str">
        <f>IF(종목!A6="","",종목!A6)</f>
      </c>
      <c r="B12" s="11" t="str">
        <f>IF(종목!A6="","",종목!B6)</f>
      </c>
      <c r="C12" s="11">
        <f>IF(종목!A6="","",게임설정!$B$10)</f>
      </c>
      <c r="D12" s="7"/>
      <c r="E12" s="7"/>
      <c r="F12" s="7"/>
      <c r="G12" s="7"/>
      <c r="H12" s="7"/>
      <c r="I12" s="7"/>
      <c r="J12" s="7"/>
      <c r="K12" s="11">
        <f>IF(D12="","",D12+E12)</f>
      </c>
      <c r="L12" s="11">
        <f>IF(F12="","",F12+G12)</f>
      </c>
      <c r="M12" s="11">
        <f>IF(K12="","",K12-L12)</f>
      </c>
      <c r="N12" s="11">
        <f>IF(H12="","",H12-I12)</f>
      </c>
      <c r="O12" s="11">
        <f>IF(N12="","",N12-J12)</f>
      </c>
      <c r="P12" s="11">
        <f>IF(OR(M12="",M12&lt;=0),"자본잠식",ROUND(L12/M12*100,1))</f>
      </c>
      <c r="Q12" s="11">
        <f>IF(OR(M12="",M12&lt;=0),"—",ROUND(O12/M12*100,1))</f>
      </c>
    </row>
    <row r="13">
      <c r="A13" s="11" t="str">
        <f>IF(종목!A6="","",종목!A6)</f>
      </c>
      <c r="B13" s="11" t="str">
        <f>IF(종목!A6="","",종목!B6)</f>
      </c>
      <c r="C13" s="11">
        <f>IF(종목!A6="","",게임설정!$B$11)</f>
      </c>
      <c r="D13" s="7"/>
      <c r="E13" s="7"/>
      <c r="F13" s="7"/>
      <c r="G13" s="7"/>
      <c r="H13" s="7"/>
      <c r="I13" s="7"/>
      <c r="J13" s="7"/>
      <c r="K13" s="11">
        <f>IF(D13="","",D13+E13)</f>
      </c>
      <c r="L13" s="11">
        <f>IF(F13="","",F13+G13)</f>
      </c>
      <c r="M13" s="11">
        <f>IF(K13="","",K13-L13)</f>
      </c>
      <c r="N13" s="11">
        <f>IF(H13="","",H13-I13)</f>
      </c>
      <c r="O13" s="11">
        <f>IF(N13="","",N13-J13)</f>
      </c>
      <c r="P13" s="11">
        <f>IF(OR(M13="",M13&lt;=0),"자본잠식",ROUND(L13/M13*100,1))</f>
      </c>
      <c r="Q13" s="11">
        <f>IF(OR(M13="",M13&lt;=0),"—",ROUND(O13/M13*100,1))</f>
      </c>
    </row>
    <row r="14">
      <c r="A14" s="11" t="str">
        <f>IF(종목!A6="","",종목!A6)</f>
      </c>
      <c r="B14" s="11" t="str">
        <f>IF(종목!A6="","",종목!B6)</f>
      </c>
      <c r="C14" s="11">
        <f>IF(종목!A6="","",게임설정!$B$12)</f>
      </c>
      <c r="D14" s="7"/>
      <c r="E14" s="7"/>
      <c r="F14" s="7"/>
      <c r="G14" s="7"/>
      <c r="H14" s="7"/>
      <c r="I14" s="7"/>
      <c r="J14" s="7"/>
      <c r="K14" s="11">
        <f>IF(D14="","",D14+E14)</f>
      </c>
      <c r="L14" s="11">
        <f>IF(F14="","",F14+G14)</f>
      </c>
      <c r="M14" s="11">
        <f>IF(K14="","",K14-L14)</f>
      </c>
      <c r="N14" s="11">
        <f>IF(H14="","",H14-I14)</f>
      </c>
      <c r="O14" s="11">
        <f>IF(N14="","",N14-J14)</f>
      </c>
      <c r="P14" s="11">
        <f>IF(OR(M14="",M14&lt;=0),"자본잠식",ROUND(L14/M14*100,1))</f>
      </c>
      <c r="Q14" s="11">
        <f>IF(OR(M14="",M14&lt;=0),"—",ROUND(O14/M14*100,1))</f>
      </c>
    </row>
    <row r="15">
      <c r="A15" s="11" t="str">
        <f>IF(종목!A6="","",종목!A6)</f>
      </c>
      <c r="B15" s="11" t="str">
        <f>IF(종목!A6="","",종목!B6)</f>
      </c>
      <c r="C15" s="11">
        <f>IF(종목!A6="","",게임설정!$B$13)</f>
      </c>
      <c r="D15" s="7"/>
      <c r="E15" s="7"/>
      <c r="F15" s="7"/>
      <c r="G15" s="7"/>
      <c r="H15" s="7"/>
      <c r="I15" s="7"/>
      <c r="J15" s="7"/>
      <c r="K15" s="11">
        <f>IF(D15="","",D15+E15)</f>
      </c>
      <c r="L15" s="11">
        <f>IF(F15="","",F15+G15)</f>
      </c>
      <c r="M15" s="11">
        <f>IF(K15="","",K15-L15)</f>
      </c>
      <c r="N15" s="11">
        <f>IF(H15="","",H15-I15)</f>
      </c>
      <c r="O15" s="11">
        <f>IF(N15="","",N15-J15)</f>
      </c>
      <c r="P15" s="11">
        <f>IF(OR(M15="",M15&lt;=0),"자본잠식",ROUND(L15/M15*100,1))</f>
      </c>
      <c r="Q15" s="11">
        <f>IF(OR(M15="",M15&lt;=0),"—",ROUND(O15/M15*100,1))</f>
      </c>
    </row>
    <row r="16">
      <c r="A16" s="11" t="str">
        <f>IF(종목!A6="","",종목!A6)</f>
      </c>
      <c r="B16" s="11" t="str">
        <f>IF(종목!A6="","",종목!B6)</f>
      </c>
      <c r="C16" s="11">
        <f>IF(종목!A6="","",게임설정!$B$8)</f>
      </c>
      <c r="D16" s="7"/>
      <c r="E16" s="7"/>
      <c r="F16" s="7"/>
      <c r="G16" s="7"/>
      <c r="H16" s="7"/>
      <c r="I16" s="7"/>
      <c r="J16" s="7"/>
      <c r="K16" s="11">
        <f>IF(D16="","",D16+E16)</f>
      </c>
      <c r="L16" s="11">
        <f>IF(F16="","",F16+G16)</f>
      </c>
      <c r="M16" s="11">
        <f>IF(K16="","",K16-L16)</f>
      </c>
      <c r="N16" s="11">
        <f>IF(H16="","",H16-I16)</f>
      </c>
      <c r="O16" s="11">
        <f>IF(N16="","",N16-J16)</f>
      </c>
      <c r="P16" s="11">
        <f>IF(OR(M16="",M16&lt;=0),"자본잠식",ROUND(L16/M16*100,1))</f>
      </c>
      <c r="Q16" s="11">
        <f>IF(OR(M16="",M16&lt;=0),"—",ROUND(O16/M16*100,1))</f>
      </c>
    </row>
    <row r="17">
      <c r="A17" s="11" t="str">
        <f>IF(종목!A7="","",종목!A7)</f>
      </c>
      <c r="B17" s="11" t="str">
        <f>IF(종목!A7="","",종목!B7)</f>
      </c>
      <c r="C17" s="11">
        <f>IF(종목!A7="","",게임설정!$B$9)</f>
      </c>
      <c r="D17" s="7"/>
      <c r="E17" s="7"/>
      <c r="F17" s="7"/>
      <c r="G17" s="7"/>
      <c r="H17" s="7"/>
      <c r="I17" s="7"/>
      <c r="J17" s="7"/>
      <c r="K17" s="11">
        <f>IF(D17="","",D17+E17)</f>
      </c>
      <c r="L17" s="11">
        <f>IF(F17="","",F17+G17)</f>
      </c>
      <c r="M17" s="11">
        <f>IF(K17="","",K17-L17)</f>
      </c>
      <c r="N17" s="11">
        <f>IF(H17="","",H17-I17)</f>
      </c>
      <c r="O17" s="11">
        <f>IF(N17="","",N17-J17)</f>
      </c>
      <c r="P17" s="11">
        <f>IF(OR(M17="",M17&lt;=0),"자본잠식",ROUND(L17/M17*100,1))</f>
      </c>
      <c r="Q17" s="11">
        <f>IF(OR(M17="",M17&lt;=0),"—",ROUND(O17/M17*100,1))</f>
      </c>
    </row>
    <row r="18">
      <c r="A18" s="11" t="str">
        <f>IF(종목!A7="","",종목!A7)</f>
      </c>
      <c r="B18" s="11" t="str">
        <f>IF(종목!A7="","",종목!B7)</f>
      </c>
      <c r="C18" s="11">
        <f>IF(종목!A7="","",게임설정!$B$10)</f>
      </c>
      <c r="D18" s="7"/>
      <c r="E18" s="7"/>
      <c r="F18" s="7"/>
      <c r="G18" s="7"/>
      <c r="H18" s="7"/>
      <c r="I18" s="7"/>
      <c r="J18" s="7"/>
      <c r="K18" s="11">
        <f>IF(D18="","",D18+E18)</f>
      </c>
      <c r="L18" s="11">
        <f>IF(F18="","",F18+G18)</f>
      </c>
      <c r="M18" s="11">
        <f>IF(K18="","",K18-L18)</f>
      </c>
      <c r="N18" s="11">
        <f>IF(H18="","",H18-I18)</f>
      </c>
      <c r="O18" s="11">
        <f>IF(N18="","",N18-J18)</f>
      </c>
      <c r="P18" s="11">
        <f>IF(OR(M18="",M18&lt;=0),"자본잠식",ROUND(L18/M18*100,1))</f>
      </c>
      <c r="Q18" s="11">
        <f>IF(OR(M18="",M18&lt;=0),"—",ROUND(O18/M18*100,1))</f>
      </c>
    </row>
    <row r="19">
      <c r="A19" s="11" t="str">
        <f>IF(종목!A7="","",종목!A7)</f>
      </c>
      <c r="B19" s="11" t="str">
        <f>IF(종목!A7="","",종목!B7)</f>
      </c>
      <c r="C19" s="11">
        <f>IF(종목!A7="","",게임설정!$B$11)</f>
      </c>
      <c r="D19" s="7"/>
      <c r="E19" s="7"/>
      <c r="F19" s="7"/>
      <c r="G19" s="7"/>
      <c r="H19" s="7"/>
      <c r="I19" s="7"/>
      <c r="J19" s="7"/>
      <c r="K19" s="11">
        <f>IF(D19="","",D19+E19)</f>
      </c>
      <c r="L19" s="11">
        <f>IF(F19="","",F19+G19)</f>
      </c>
      <c r="M19" s="11">
        <f>IF(K19="","",K19-L19)</f>
      </c>
      <c r="N19" s="11">
        <f>IF(H19="","",H19-I19)</f>
      </c>
      <c r="O19" s="11">
        <f>IF(N19="","",N19-J19)</f>
      </c>
      <c r="P19" s="11">
        <f>IF(OR(M19="",M19&lt;=0),"자본잠식",ROUND(L19/M19*100,1))</f>
      </c>
      <c r="Q19" s="11">
        <f>IF(OR(M19="",M19&lt;=0),"—",ROUND(O19/M19*100,1))</f>
      </c>
    </row>
    <row r="20">
      <c r="A20" s="11" t="str">
        <f>IF(종목!A7="","",종목!A7)</f>
      </c>
      <c r="B20" s="11" t="str">
        <f>IF(종목!A7="","",종목!B7)</f>
      </c>
      <c r="C20" s="11">
        <f>IF(종목!A7="","",게임설정!$B$12)</f>
      </c>
      <c r="D20" s="7"/>
      <c r="E20" s="7"/>
      <c r="F20" s="7"/>
      <c r="G20" s="7"/>
      <c r="H20" s="7"/>
      <c r="I20" s="7"/>
      <c r="J20" s="7"/>
      <c r="K20" s="11">
        <f>IF(D20="","",D20+E20)</f>
      </c>
      <c r="L20" s="11">
        <f>IF(F20="","",F20+G20)</f>
      </c>
      <c r="M20" s="11">
        <f>IF(K20="","",K20-L20)</f>
      </c>
      <c r="N20" s="11">
        <f>IF(H20="","",H20-I20)</f>
      </c>
      <c r="O20" s="11">
        <f>IF(N20="","",N20-J20)</f>
      </c>
      <c r="P20" s="11">
        <f>IF(OR(M20="",M20&lt;=0),"자본잠식",ROUND(L20/M20*100,1))</f>
      </c>
      <c r="Q20" s="11">
        <f>IF(OR(M20="",M20&lt;=0),"—",ROUND(O20/M20*100,1))</f>
      </c>
    </row>
    <row r="21">
      <c r="A21" s="11" t="str">
        <f>IF(종목!A7="","",종목!A7)</f>
      </c>
      <c r="B21" s="11" t="str">
        <f>IF(종목!A7="","",종목!B7)</f>
      </c>
      <c r="C21" s="11">
        <f>IF(종목!A7="","",게임설정!$B$13)</f>
      </c>
      <c r="D21" s="7"/>
      <c r="E21" s="7"/>
      <c r="F21" s="7"/>
      <c r="G21" s="7"/>
      <c r="H21" s="7"/>
      <c r="I21" s="7"/>
      <c r="J21" s="7"/>
      <c r="K21" s="11">
        <f>IF(D21="","",D21+E21)</f>
      </c>
      <c r="L21" s="11">
        <f>IF(F21="","",F21+G21)</f>
      </c>
      <c r="M21" s="11">
        <f>IF(K21="","",K21-L21)</f>
      </c>
      <c r="N21" s="11">
        <f>IF(H21="","",H21-I21)</f>
      </c>
      <c r="O21" s="11">
        <f>IF(N21="","",N21-J21)</f>
      </c>
      <c r="P21" s="11">
        <f>IF(OR(M21="",M21&lt;=0),"자본잠식",ROUND(L21/M21*100,1))</f>
      </c>
      <c r="Q21" s="11">
        <f>IF(OR(M21="",M21&lt;=0),"—",ROUND(O21/M21*100,1))</f>
      </c>
    </row>
    <row r="22">
      <c r="A22" s="11" t="str">
        <f>IF(종목!A7="","",종목!A7)</f>
      </c>
      <c r="B22" s="11" t="str">
        <f>IF(종목!A7="","",종목!B7)</f>
      </c>
      <c r="C22" s="11">
        <f>IF(종목!A7="","",게임설정!$B$8)</f>
      </c>
      <c r="D22" s="7"/>
      <c r="E22" s="7"/>
      <c r="F22" s="7"/>
      <c r="G22" s="7"/>
      <c r="H22" s="7"/>
      <c r="I22" s="7"/>
      <c r="J22" s="7"/>
      <c r="K22" s="11">
        <f>IF(D22="","",D22+E22)</f>
      </c>
      <c r="L22" s="11">
        <f>IF(F22="","",F22+G22)</f>
      </c>
      <c r="M22" s="11">
        <f>IF(K22="","",K22-L22)</f>
      </c>
      <c r="N22" s="11">
        <f>IF(H22="","",H22-I22)</f>
      </c>
      <c r="O22" s="11">
        <f>IF(N22="","",N22-J22)</f>
      </c>
      <c r="P22" s="11">
        <f>IF(OR(M22="",M22&lt;=0),"자본잠식",ROUND(L22/M22*100,1))</f>
      </c>
      <c r="Q22" s="11">
        <f>IF(OR(M22="",M22&lt;=0),"—",ROUND(O22/M22*100,1))</f>
      </c>
    </row>
    <row r="23">
      <c r="A23" s="11" t="str">
        <f>IF(종목!A8="","",종목!A8)</f>
      </c>
      <c r="B23" s="11" t="str">
        <f>IF(종목!A8="","",종목!B8)</f>
      </c>
      <c r="C23" s="11">
        <f>IF(종목!A8="","",게임설정!$B$9)</f>
      </c>
      <c r="D23" s="7"/>
      <c r="E23" s="7"/>
      <c r="F23" s="7"/>
      <c r="G23" s="7"/>
      <c r="H23" s="7"/>
      <c r="I23" s="7"/>
      <c r="J23" s="7"/>
      <c r="K23" s="11">
        <f>IF(D23="","",D23+E23)</f>
      </c>
      <c r="L23" s="11">
        <f>IF(F23="","",F23+G23)</f>
      </c>
      <c r="M23" s="11">
        <f>IF(K23="","",K23-L23)</f>
      </c>
      <c r="N23" s="11">
        <f>IF(H23="","",H23-I23)</f>
      </c>
      <c r="O23" s="11">
        <f>IF(N23="","",N23-J23)</f>
      </c>
      <c r="P23" s="11">
        <f>IF(OR(M23="",M23&lt;=0),"자본잠식",ROUND(L23/M23*100,1))</f>
      </c>
      <c r="Q23" s="11">
        <f>IF(OR(M23="",M23&lt;=0),"—",ROUND(O23/M23*100,1))</f>
      </c>
    </row>
    <row r="24">
      <c r="A24" s="11" t="str">
        <f>IF(종목!A8="","",종목!A8)</f>
      </c>
      <c r="B24" s="11" t="str">
        <f>IF(종목!A8="","",종목!B8)</f>
      </c>
      <c r="C24" s="11">
        <f>IF(종목!A8="","",게임설정!$B$10)</f>
      </c>
      <c r="D24" s="7"/>
      <c r="E24" s="7"/>
      <c r="F24" s="7"/>
      <c r="G24" s="7"/>
      <c r="H24" s="7"/>
      <c r="I24" s="7"/>
      <c r="J24" s="7"/>
      <c r="K24" s="11">
        <f>IF(D24="","",D24+E24)</f>
      </c>
      <c r="L24" s="11">
        <f>IF(F24="","",F24+G24)</f>
      </c>
      <c r="M24" s="11">
        <f>IF(K24="","",K24-L24)</f>
      </c>
      <c r="N24" s="11">
        <f>IF(H24="","",H24-I24)</f>
      </c>
      <c r="O24" s="11">
        <f>IF(N24="","",N24-J24)</f>
      </c>
      <c r="P24" s="11">
        <f>IF(OR(M24="",M24&lt;=0),"자본잠식",ROUND(L24/M24*100,1))</f>
      </c>
      <c r="Q24" s="11">
        <f>IF(OR(M24="",M24&lt;=0),"—",ROUND(O24/M24*100,1))</f>
      </c>
    </row>
    <row r="25">
      <c r="A25" s="11" t="str">
        <f>IF(종목!A8="","",종목!A8)</f>
      </c>
      <c r="B25" s="11" t="str">
        <f>IF(종목!A8="","",종목!B8)</f>
      </c>
      <c r="C25" s="11">
        <f>IF(종목!A8="","",게임설정!$B$11)</f>
      </c>
      <c r="D25" s="7"/>
      <c r="E25" s="7"/>
      <c r="F25" s="7"/>
      <c r="G25" s="7"/>
      <c r="H25" s="7"/>
      <c r="I25" s="7"/>
      <c r="J25" s="7"/>
      <c r="K25" s="11">
        <f>IF(D25="","",D25+E25)</f>
      </c>
      <c r="L25" s="11">
        <f>IF(F25="","",F25+G25)</f>
      </c>
      <c r="M25" s="11">
        <f>IF(K25="","",K25-L25)</f>
      </c>
      <c r="N25" s="11">
        <f>IF(H25="","",H25-I25)</f>
      </c>
      <c r="O25" s="11">
        <f>IF(N25="","",N25-J25)</f>
      </c>
      <c r="P25" s="11">
        <f>IF(OR(M25="",M25&lt;=0),"자본잠식",ROUND(L25/M25*100,1))</f>
      </c>
      <c r="Q25" s="11">
        <f>IF(OR(M25="",M25&lt;=0),"—",ROUND(O25/M25*100,1))</f>
      </c>
    </row>
    <row r="26">
      <c r="A26" s="11" t="str">
        <f>IF(종목!A8="","",종목!A8)</f>
      </c>
      <c r="B26" s="11" t="str">
        <f>IF(종목!A8="","",종목!B8)</f>
      </c>
      <c r="C26" s="11">
        <f>IF(종목!A8="","",게임설정!$B$12)</f>
      </c>
      <c r="D26" s="7"/>
      <c r="E26" s="7"/>
      <c r="F26" s="7"/>
      <c r="G26" s="7"/>
      <c r="H26" s="7"/>
      <c r="I26" s="7"/>
      <c r="J26" s="7"/>
      <c r="K26" s="11">
        <f>IF(D26="","",D26+E26)</f>
      </c>
      <c r="L26" s="11">
        <f>IF(F26="","",F26+G26)</f>
      </c>
      <c r="M26" s="11">
        <f>IF(K26="","",K26-L26)</f>
      </c>
      <c r="N26" s="11">
        <f>IF(H26="","",H26-I26)</f>
      </c>
      <c r="O26" s="11">
        <f>IF(N26="","",N26-J26)</f>
      </c>
      <c r="P26" s="11">
        <f>IF(OR(M26="",M26&lt;=0),"자본잠식",ROUND(L26/M26*100,1))</f>
      </c>
      <c r="Q26" s="11">
        <f>IF(OR(M26="",M26&lt;=0),"—",ROUND(O26/M26*100,1))</f>
      </c>
    </row>
    <row r="27">
      <c r="A27" s="11" t="str">
        <f>IF(종목!A8="","",종목!A8)</f>
      </c>
      <c r="B27" s="11" t="str">
        <f>IF(종목!A8="","",종목!B8)</f>
      </c>
      <c r="C27" s="11">
        <f>IF(종목!A8="","",게임설정!$B$13)</f>
      </c>
      <c r="D27" s="7"/>
      <c r="E27" s="7"/>
      <c r="F27" s="7"/>
      <c r="G27" s="7"/>
      <c r="H27" s="7"/>
      <c r="I27" s="7"/>
      <c r="J27" s="7"/>
      <c r="K27" s="11">
        <f>IF(D27="","",D27+E27)</f>
      </c>
      <c r="L27" s="11">
        <f>IF(F27="","",F27+G27)</f>
      </c>
      <c r="M27" s="11">
        <f>IF(K27="","",K27-L27)</f>
      </c>
      <c r="N27" s="11">
        <f>IF(H27="","",H27-I27)</f>
      </c>
      <c r="O27" s="11">
        <f>IF(N27="","",N27-J27)</f>
      </c>
      <c r="P27" s="11">
        <f>IF(OR(M27="",M27&lt;=0),"자본잠식",ROUND(L27/M27*100,1))</f>
      </c>
      <c r="Q27" s="11">
        <f>IF(OR(M27="",M27&lt;=0),"—",ROUND(O27/M27*100,1))</f>
      </c>
    </row>
    <row r="28">
      <c r="A28" s="11" t="str">
        <f>IF(종목!A8="","",종목!A8)</f>
      </c>
      <c r="B28" s="11" t="str">
        <f>IF(종목!A8="","",종목!B8)</f>
      </c>
      <c r="C28" s="11">
        <f>IF(종목!A8="","",게임설정!$B$8)</f>
      </c>
      <c r="D28" s="7"/>
      <c r="E28" s="7"/>
      <c r="F28" s="7"/>
      <c r="G28" s="7"/>
      <c r="H28" s="7"/>
      <c r="I28" s="7"/>
      <c r="J28" s="7"/>
      <c r="K28" s="11">
        <f>IF(D28="","",D28+E28)</f>
      </c>
      <c r="L28" s="11">
        <f>IF(F28="","",F28+G28)</f>
      </c>
      <c r="M28" s="11">
        <f>IF(K28="","",K28-L28)</f>
      </c>
      <c r="N28" s="11">
        <f>IF(H28="","",H28-I28)</f>
      </c>
      <c r="O28" s="11">
        <f>IF(N28="","",N28-J28)</f>
      </c>
      <c r="P28" s="11">
        <f>IF(OR(M28="",M28&lt;=0),"자본잠식",ROUND(L28/M28*100,1))</f>
      </c>
      <c r="Q28" s="11">
        <f>IF(OR(M28="",M28&lt;=0),"—",ROUND(O28/M28*100,1))</f>
      </c>
    </row>
    <row r="29">
      <c r="A29" s="11" t="str">
        <f>IF(종목!A9="","",종목!A9)</f>
      </c>
      <c r="B29" s="11" t="str">
        <f>IF(종목!A9="","",종목!B9)</f>
      </c>
      <c r="C29" s="11">
        <f>IF(종목!A9="","",게임설정!$B$9)</f>
      </c>
      <c r="D29" s="7"/>
      <c r="E29" s="7"/>
      <c r="F29" s="7"/>
      <c r="G29" s="7"/>
      <c r="H29" s="7"/>
      <c r="I29" s="7"/>
      <c r="J29" s="7"/>
      <c r="K29" s="11">
        <f>IF(D29="","",D29+E29)</f>
      </c>
      <c r="L29" s="11">
        <f>IF(F29="","",F29+G29)</f>
      </c>
      <c r="M29" s="11">
        <f>IF(K29="","",K29-L29)</f>
      </c>
      <c r="N29" s="11">
        <f>IF(H29="","",H29-I29)</f>
      </c>
      <c r="O29" s="11">
        <f>IF(N29="","",N29-J29)</f>
      </c>
      <c r="P29" s="11">
        <f>IF(OR(M29="",M29&lt;=0),"자본잠식",ROUND(L29/M29*100,1))</f>
      </c>
      <c r="Q29" s="11">
        <f>IF(OR(M29="",M29&lt;=0),"—",ROUND(O29/M29*100,1))</f>
      </c>
    </row>
    <row r="30">
      <c r="A30" s="11" t="str">
        <f>IF(종목!A9="","",종목!A9)</f>
      </c>
      <c r="B30" s="11" t="str">
        <f>IF(종목!A9="","",종목!B9)</f>
      </c>
      <c r="C30" s="11">
        <f>IF(종목!A9="","",게임설정!$B$10)</f>
      </c>
      <c r="D30" s="7"/>
      <c r="E30" s="7"/>
      <c r="F30" s="7"/>
      <c r="G30" s="7"/>
      <c r="H30" s="7"/>
      <c r="I30" s="7"/>
      <c r="J30" s="7"/>
      <c r="K30" s="11">
        <f>IF(D30="","",D30+E30)</f>
      </c>
      <c r="L30" s="11">
        <f>IF(F30="","",F30+G30)</f>
      </c>
      <c r="M30" s="11">
        <f>IF(K30="","",K30-L30)</f>
      </c>
      <c r="N30" s="11">
        <f>IF(H30="","",H30-I30)</f>
      </c>
      <c r="O30" s="11">
        <f>IF(N30="","",N30-J30)</f>
      </c>
      <c r="P30" s="11">
        <f>IF(OR(M30="",M30&lt;=0),"자본잠식",ROUND(L30/M30*100,1))</f>
      </c>
      <c r="Q30" s="11">
        <f>IF(OR(M30="",M30&lt;=0),"—",ROUND(O30/M30*100,1))</f>
      </c>
    </row>
    <row r="31">
      <c r="A31" s="11" t="str">
        <f>IF(종목!A9="","",종목!A9)</f>
      </c>
      <c r="B31" s="11" t="str">
        <f>IF(종목!A9="","",종목!B9)</f>
      </c>
      <c r="C31" s="11">
        <f>IF(종목!A9="","",게임설정!$B$11)</f>
      </c>
      <c r="D31" s="7"/>
      <c r="E31" s="7"/>
      <c r="F31" s="7"/>
      <c r="G31" s="7"/>
      <c r="H31" s="7"/>
      <c r="I31" s="7"/>
      <c r="J31" s="7"/>
      <c r="K31" s="11">
        <f>IF(D31="","",D31+E31)</f>
      </c>
      <c r="L31" s="11">
        <f>IF(F31="","",F31+G31)</f>
      </c>
      <c r="M31" s="11">
        <f>IF(K31="","",K31-L31)</f>
      </c>
      <c r="N31" s="11">
        <f>IF(H31="","",H31-I31)</f>
      </c>
      <c r="O31" s="11">
        <f>IF(N31="","",N31-J31)</f>
      </c>
      <c r="P31" s="11">
        <f>IF(OR(M31="",M31&lt;=0),"자본잠식",ROUND(L31/M31*100,1))</f>
      </c>
      <c r="Q31" s="11">
        <f>IF(OR(M31="",M31&lt;=0),"—",ROUND(O31/M31*100,1))</f>
      </c>
    </row>
    <row r="32">
      <c r="A32" s="11" t="str">
        <f>IF(종목!A9="","",종목!A9)</f>
      </c>
      <c r="B32" s="11" t="str">
        <f>IF(종목!A9="","",종목!B9)</f>
      </c>
      <c r="C32" s="11">
        <f>IF(종목!A9="","",게임설정!$B$12)</f>
      </c>
      <c r="D32" s="7"/>
      <c r="E32" s="7"/>
      <c r="F32" s="7"/>
      <c r="G32" s="7"/>
      <c r="H32" s="7"/>
      <c r="I32" s="7"/>
      <c r="J32" s="7"/>
      <c r="K32" s="11">
        <f>IF(D32="","",D32+E32)</f>
      </c>
      <c r="L32" s="11">
        <f>IF(F32="","",F32+G32)</f>
      </c>
      <c r="M32" s="11">
        <f>IF(K32="","",K32-L32)</f>
      </c>
      <c r="N32" s="11">
        <f>IF(H32="","",H32-I32)</f>
      </c>
      <c r="O32" s="11">
        <f>IF(N32="","",N32-J32)</f>
      </c>
      <c r="P32" s="11">
        <f>IF(OR(M32="",M32&lt;=0),"자본잠식",ROUND(L32/M32*100,1))</f>
      </c>
      <c r="Q32" s="11">
        <f>IF(OR(M32="",M32&lt;=0),"—",ROUND(O32/M32*100,1))</f>
      </c>
    </row>
    <row r="33">
      <c r="A33" s="11" t="str">
        <f>IF(종목!A9="","",종목!A9)</f>
      </c>
      <c r="B33" s="11" t="str">
        <f>IF(종목!A9="","",종목!B9)</f>
      </c>
      <c r="C33" s="11">
        <f>IF(종목!A9="","",게임설정!$B$13)</f>
      </c>
      <c r="D33" s="7"/>
      <c r="E33" s="7"/>
      <c r="F33" s="7"/>
      <c r="G33" s="7"/>
      <c r="H33" s="7"/>
      <c r="I33" s="7"/>
      <c r="J33" s="7"/>
      <c r="K33" s="11">
        <f>IF(D33="","",D33+E33)</f>
      </c>
      <c r="L33" s="11">
        <f>IF(F33="","",F33+G33)</f>
      </c>
      <c r="M33" s="11">
        <f>IF(K33="","",K33-L33)</f>
      </c>
      <c r="N33" s="11">
        <f>IF(H33="","",H33-I33)</f>
      </c>
      <c r="O33" s="11">
        <f>IF(N33="","",N33-J33)</f>
      </c>
      <c r="P33" s="11">
        <f>IF(OR(M33="",M33&lt;=0),"자본잠식",ROUND(L33/M33*100,1))</f>
      </c>
      <c r="Q33" s="11">
        <f>IF(OR(M33="",M33&lt;=0),"—",ROUND(O33/M33*100,1))</f>
      </c>
    </row>
    <row r="34">
      <c r="A34" s="11" t="str">
        <f>IF(종목!A9="","",종목!A9)</f>
      </c>
      <c r="B34" s="11" t="str">
        <f>IF(종목!A9="","",종목!B9)</f>
      </c>
      <c r="C34" s="11">
        <f>IF(종목!A9="","",게임설정!$B$8)</f>
      </c>
      <c r="D34" s="7"/>
      <c r="E34" s="7"/>
      <c r="F34" s="7"/>
      <c r="G34" s="7"/>
      <c r="H34" s="7"/>
      <c r="I34" s="7"/>
      <c r="J34" s="7"/>
      <c r="K34" s="11">
        <f>IF(D34="","",D34+E34)</f>
      </c>
      <c r="L34" s="11">
        <f>IF(F34="","",F34+G34)</f>
      </c>
      <c r="M34" s="11">
        <f>IF(K34="","",K34-L34)</f>
      </c>
      <c r="N34" s="11">
        <f>IF(H34="","",H34-I34)</f>
      </c>
      <c r="O34" s="11">
        <f>IF(N34="","",N34-J34)</f>
      </c>
      <c r="P34" s="11">
        <f>IF(OR(M34="",M34&lt;=0),"자본잠식",ROUND(L34/M34*100,1))</f>
      </c>
      <c r="Q34" s="11">
        <f>IF(OR(M34="",M34&lt;=0),"—",ROUND(O34/M34*100,1))</f>
      </c>
    </row>
    <row r="35">
      <c r="A35" s="11" t="str">
        <f>IF(종목!A10="","",종목!A10)</f>
      </c>
      <c r="B35" s="11" t="str">
        <f>IF(종목!A10="","",종목!B10)</f>
      </c>
      <c r="C35" s="11">
        <f>IF(종목!A10="","",게임설정!$B$9)</f>
      </c>
      <c r="D35" s="7"/>
      <c r="E35" s="7"/>
      <c r="F35" s="7"/>
      <c r="G35" s="7"/>
      <c r="H35" s="7"/>
      <c r="I35" s="7"/>
      <c r="J35" s="7"/>
      <c r="K35" s="11">
        <f>IF(D35="","",D35+E35)</f>
      </c>
      <c r="L35" s="11">
        <f>IF(F35="","",F35+G35)</f>
      </c>
      <c r="M35" s="11">
        <f>IF(K35="","",K35-L35)</f>
      </c>
      <c r="N35" s="11">
        <f>IF(H35="","",H35-I35)</f>
      </c>
      <c r="O35" s="11">
        <f>IF(N35="","",N35-J35)</f>
      </c>
      <c r="P35" s="11">
        <f>IF(OR(M35="",M35&lt;=0),"자본잠식",ROUND(L35/M35*100,1))</f>
      </c>
      <c r="Q35" s="11">
        <f>IF(OR(M35="",M35&lt;=0),"—",ROUND(O35/M35*100,1))</f>
      </c>
    </row>
    <row r="36">
      <c r="A36" s="11" t="str">
        <f>IF(종목!A10="","",종목!A10)</f>
      </c>
      <c r="B36" s="11" t="str">
        <f>IF(종목!A10="","",종목!B10)</f>
      </c>
      <c r="C36" s="11">
        <f>IF(종목!A10="","",게임설정!$B$10)</f>
      </c>
      <c r="D36" s="7"/>
      <c r="E36" s="7"/>
      <c r="F36" s="7"/>
      <c r="G36" s="7"/>
      <c r="H36" s="7"/>
      <c r="I36" s="7"/>
      <c r="J36" s="7"/>
      <c r="K36" s="11">
        <f>IF(D36="","",D36+E36)</f>
      </c>
      <c r="L36" s="11">
        <f>IF(F36="","",F36+G36)</f>
      </c>
      <c r="M36" s="11">
        <f>IF(K36="","",K36-L36)</f>
      </c>
      <c r="N36" s="11">
        <f>IF(H36="","",H36-I36)</f>
      </c>
      <c r="O36" s="11">
        <f>IF(N36="","",N36-J36)</f>
      </c>
      <c r="P36" s="11">
        <f>IF(OR(M36="",M36&lt;=0),"자본잠식",ROUND(L36/M36*100,1))</f>
      </c>
      <c r="Q36" s="11">
        <f>IF(OR(M36="",M36&lt;=0),"—",ROUND(O36/M36*100,1))</f>
      </c>
    </row>
    <row r="37">
      <c r="A37" s="11" t="str">
        <f>IF(종목!A10="","",종목!A10)</f>
      </c>
      <c r="B37" s="11" t="str">
        <f>IF(종목!A10="","",종목!B10)</f>
      </c>
      <c r="C37" s="11">
        <f>IF(종목!A10="","",게임설정!$B$11)</f>
      </c>
      <c r="D37" s="7"/>
      <c r="E37" s="7"/>
      <c r="F37" s="7"/>
      <c r="G37" s="7"/>
      <c r="H37" s="7"/>
      <c r="I37" s="7"/>
      <c r="J37" s="7"/>
      <c r="K37" s="11">
        <f>IF(D37="","",D37+E37)</f>
      </c>
      <c r="L37" s="11">
        <f>IF(F37="","",F37+G37)</f>
      </c>
      <c r="M37" s="11">
        <f>IF(K37="","",K37-L37)</f>
      </c>
      <c r="N37" s="11">
        <f>IF(H37="","",H37-I37)</f>
      </c>
      <c r="O37" s="11">
        <f>IF(N37="","",N37-J37)</f>
      </c>
      <c r="P37" s="11">
        <f>IF(OR(M37="",M37&lt;=0),"자본잠식",ROUND(L37/M37*100,1))</f>
      </c>
      <c r="Q37" s="11">
        <f>IF(OR(M37="",M37&lt;=0),"—",ROUND(O37/M37*100,1))</f>
      </c>
    </row>
    <row r="38">
      <c r="A38" s="11" t="str">
        <f>IF(종목!A10="","",종목!A10)</f>
      </c>
      <c r="B38" s="11" t="str">
        <f>IF(종목!A10="","",종목!B10)</f>
      </c>
      <c r="C38" s="11">
        <f>IF(종목!A10="","",게임설정!$B$12)</f>
      </c>
      <c r="D38" s="7"/>
      <c r="E38" s="7"/>
      <c r="F38" s="7"/>
      <c r="G38" s="7"/>
      <c r="H38" s="7"/>
      <c r="I38" s="7"/>
      <c r="J38" s="7"/>
      <c r="K38" s="11">
        <f>IF(D38="","",D38+E38)</f>
      </c>
      <c r="L38" s="11">
        <f>IF(F38="","",F38+G38)</f>
      </c>
      <c r="M38" s="11">
        <f>IF(K38="","",K38-L38)</f>
      </c>
      <c r="N38" s="11">
        <f>IF(H38="","",H38-I38)</f>
      </c>
      <c r="O38" s="11">
        <f>IF(N38="","",N38-J38)</f>
      </c>
      <c r="P38" s="11">
        <f>IF(OR(M38="",M38&lt;=0),"자본잠식",ROUND(L38/M38*100,1))</f>
      </c>
      <c r="Q38" s="11">
        <f>IF(OR(M38="",M38&lt;=0),"—",ROUND(O38/M38*100,1))</f>
      </c>
    </row>
    <row r="39">
      <c r="A39" s="11" t="str">
        <f>IF(종목!A10="","",종목!A10)</f>
      </c>
      <c r="B39" s="11" t="str">
        <f>IF(종목!A10="","",종목!B10)</f>
      </c>
      <c r="C39" s="11">
        <f>IF(종목!A10="","",게임설정!$B$13)</f>
      </c>
      <c r="D39" s="7"/>
      <c r="E39" s="7"/>
      <c r="F39" s="7"/>
      <c r="G39" s="7"/>
      <c r="H39" s="7"/>
      <c r="I39" s="7"/>
      <c r="J39" s="7"/>
      <c r="K39" s="11">
        <f>IF(D39="","",D39+E39)</f>
      </c>
      <c r="L39" s="11">
        <f>IF(F39="","",F39+G39)</f>
      </c>
      <c r="M39" s="11">
        <f>IF(K39="","",K39-L39)</f>
      </c>
      <c r="N39" s="11">
        <f>IF(H39="","",H39-I39)</f>
      </c>
      <c r="O39" s="11">
        <f>IF(N39="","",N39-J39)</f>
      </c>
      <c r="P39" s="11">
        <f>IF(OR(M39="",M39&lt;=0),"자본잠식",ROUND(L39/M39*100,1))</f>
      </c>
      <c r="Q39" s="11">
        <f>IF(OR(M39="",M39&lt;=0),"—",ROUND(O39/M39*100,1))</f>
      </c>
    </row>
    <row r="40">
      <c r="A40" s="11" t="str">
        <f>IF(종목!A10="","",종목!A10)</f>
      </c>
      <c r="B40" s="11" t="str">
        <f>IF(종목!A10="","",종목!B10)</f>
      </c>
      <c r="C40" s="11">
        <f>IF(종목!A10="","",게임설정!$B$8)</f>
      </c>
      <c r="D40" s="7"/>
      <c r="E40" s="7"/>
      <c r="F40" s="7"/>
      <c r="G40" s="7"/>
      <c r="H40" s="7"/>
      <c r="I40" s="7"/>
      <c r="J40" s="7"/>
      <c r="K40" s="11">
        <f>IF(D40="","",D40+E40)</f>
      </c>
      <c r="L40" s="11">
        <f>IF(F40="","",F40+G40)</f>
      </c>
      <c r="M40" s="11">
        <f>IF(K40="","",K40-L40)</f>
      </c>
      <c r="N40" s="11">
        <f>IF(H40="","",H40-I40)</f>
      </c>
      <c r="O40" s="11">
        <f>IF(N40="","",N40-J40)</f>
      </c>
      <c r="P40" s="11">
        <f>IF(OR(M40="",M40&lt;=0),"자본잠식",ROUND(L40/M40*100,1))</f>
      </c>
      <c r="Q40" s="11">
        <f>IF(OR(M40="",M40&lt;=0),"—",ROUND(O40/M40*100,1))</f>
      </c>
    </row>
    <row r="41">
      <c r="A41" s="11" t="str">
        <f>IF(종목!A11="","",종목!A11)</f>
      </c>
      <c r="B41" s="11" t="str">
        <f>IF(종목!A11="","",종목!B11)</f>
      </c>
      <c r="C41" s="11">
        <f>IF(종목!A11="","",게임설정!$B$9)</f>
      </c>
      <c r="D41" s="7"/>
      <c r="E41" s="7"/>
      <c r="F41" s="7"/>
      <c r="G41" s="7"/>
      <c r="H41" s="7"/>
      <c r="I41" s="7"/>
      <c r="J41" s="7"/>
      <c r="K41" s="11">
        <f>IF(D41="","",D41+E41)</f>
      </c>
      <c r="L41" s="11">
        <f>IF(F41="","",F41+G41)</f>
      </c>
      <c r="M41" s="11">
        <f>IF(K41="","",K41-L41)</f>
      </c>
      <c r="N41" s="11">
        <f>IF(H41="","",H41-I41)</f>
      </c>
      <c r="O41" s="11">
        <f>IF(N41="","",N41-J41)</f>
      </c>
      <c r="P41" s="11">
        <f>IF(OR(M41="",M41&lt;=0),"자본잠식",ROUND(L41/M41*100,1))</f>
      </c>
      <c r="Q41" s="11">
        <f>IF(OR(M41="",M41&lt;=0),"—",ROUND(O41/M41*100,1))</f>
      </c>
    </row>
    <row r="42">
      <c r="A42" s="11" t="str">
        <f>IF(종목!A11="","",종목!A11)</f>
      </c>
      <c r="B42" s="11" t="str">
        <f>IF(종목!A11="","",종목!B11)</f>
      </c>
      <c r="C42" s="11">
        <f>IF(종목!A11="","",게임설정!$B$10)</f>
      </c>
      <c r="D42" s="7"/>
      <c r="E42" s="7"/>
      <c r="F42" s="7"/>
      <c r="G42" s="7"/>
      <c r="H42" s="7"/>
      <c r="I42" s="7"/>
      <c r="J42" s="7"/>
      <c r="K42" s="11">
        <f>IF(D42="","",D42+E42)</f>
      </c>
      <c r="L42" s="11">
        <f>IF(F42="","",F42+G42)</f>
      </c>
      <c r="M42" s="11">
        <f>IF(K42="","",K42-L42)</f>
      </c>
      <c r="N42" s="11">
        <f>IF(H42="","",H42-I42)</f>
      </c>
      <c r="O42" s="11">
        <f>IF(N42="","",N42-J42)</f>
      </c>
      <c r="P42" s="11">
        <f>IF(OR(M42="",M42&lt;=0),"자본잠식",ROUND(L42/M42*100,1))</f>
      </c>
      <c r="Q42" s="11">
        <f>IF(OR(M42="",M42&lt;=0),"—",ROUND(O42/M42*100,1))</f>
      </c>
    </row>
    <row r="43">
      <c r="A43" s="11" t="str">
        <f>IF(종목!A11="","",종목!A11)</f>
      </c>
      <c r="B43" s="11" t="str">
        <f>IF(종목!A11="","",종목!B11)</f>
      </c>
      <c r="C43" s="11">
        <f>IF(종목!A11="","",게임설정!$B$11)</f>
      </c>
      <c r="D43" s="7"/>
      <c r="E43" s="7"/>
      <c r="F43" s="7"/>
      <c r="G43" s="7"/>
      <c r="H43" s="7"/>
      <c r="I43" s="7"/>
      <c r="J43" s="7"/>
      <c r="K43" s="11">
        <f>IF(D43="","",D43+E43)</f>
      </c>
      <c r="L43" s="11">
        <f>IF(F43="","",F43+G43)</f>
      </c>
      <c r="M43" s="11">
        <f>IF(K43="","",K43-L43)</f>
      </c>
      <c r="N43" s="11">
        <f>IF(H43="","",H43-I43)</f>
      </c>
      <c r="O43" s="11">
        <f>IF(N43="","",N43-J43)</f>
      </c>
      <c r="P43" s="11">
        <f>IF(OR(M43="",M43&lt;=0),"자본잠식",ROUND(L43/M43*100,1))</f>
      </c>
      <c r="Q43" s="11">
        <f>IF(OR(M43="",M43&lt;=0),"—",ROUND(O43/M43*100,1))</f>
      </c>
    </row>
    <row r="44">
      <c r="A44" s="11" t="str">
        <f>IF(종목!A11="","",종목!A11)</f>
      </c>
      <c r="B44" s="11" t="str">
        <f>IF(종목!A11="","",종목!B11)</f>
      </c>
      <c r="C44" s="11">
        <f>IF(종목!A11="","",게임설정!$B$12)</f>
      </c>
      <c r="D44" s="7"/>
      <c r="E44" s="7"/>
      <c r="F44" s="7"/>
      <c r="G44" s="7"/>
      <c r="H44" s="7"/>
      <c r="I44" s="7"/>
      <c r="J44" s="7"/>
      <c r="K44" s="11">
        <f>IF(D44="","",D44+E44)</f>
      </c>
      <c r="L44" s="11">
        <f>IF(F44="","",F44+G44)</f>
      </c>
      <c r="M44" s="11">
        <f>IF(K44="","",K44-L44)</f>
      </c>
      <c r="N44" s="11">
        <f>IF(H44="","",H44-I44)</f>
      </c>
      <c r="O44" s="11">
        <f>IF(N44="","",N44-J44)</f>
      </c>
      <c r="P44" s="11">
        <f>IF(OR(M44="",M44&lt;=0),"자본잠식",ROUND(L44/M44*100,1))</f>
      </c>
      <c r="Q44" s="11">
        <f>IF(OR(M44="",M44&lt;=0),"—",ROUND(O44/M44*100,1))</f>
      </c>
    </row>
    <row r="45">
      <c r="A45" s="11" t="str">
        <f>IF(종목!A11="","",종목!A11)</f>
      </c>
      <c r="B45" s="11" t="str">
        <f>IF(종목!A11="","",종목!B11)</f>
      </c>
      <c r="C45" s="11">
        <f>IF(종목!A11="","",게임설정!$B$13)</f>
      </c>
      <c r="D45" s="7"/>
      <c r="E45" s="7"/>
      <c r="F45" s="7"/>
      <c r="G45" s="7"/>
      <c r="H45" s="7"/>
      <c r="I45" s="7"/>
      <c r="J45" s="7"/>
      <c r="K45" s="11">
        <f>IF(D45="","",D45+E45)</f>
      </c>
      <c r="L45" s="11">
        <f>IF(F45="","",F45+G45)</f>
      </c>
      <c r="M45" s="11">
        <f>IF(K45="","",K45-L45)</f>
      </c>
      <c r="N45" s="11">
        <f>IF(H45="","",H45-I45)</f>
      </c>
      <c r="O45" s="11">
        <f>IF(N45="","",N45-J45)</f>
      </c>
      <c r="P45" s="11">
        <f>IF(OR(M45="",M45&lt;=0),"자본잠식",ROUND(L45/M45*100,1))</f>
      </c>
      <c r="Q45" s="11">
        <f>IF(OR(M45="",M45&lt;=0),"—",ROUND(O45/M45*100,1))</f>
      </c>
    </row>
    <row r="46">
      <c r="A46" s="11" t="str">
        <f>IF(종목!A11="","",종목!A11)</f>
      </c>
      <c r="B46" s="11" t="str">
        <f>IF(종목!A11="","",종목!B11)</f>
      </c>
      <c r="C46" s="11">
        <f>IF(종목!A11="","",게임설정!$B$8)</f>
      </c>
      <c r="D46" s="7"/>
      <c r="E46" s="7"/>
      <c r="F46" s="7"/>
      <c r="G46" s="7"/>
      <c r="H46" s="7"/>
      <c r="I46" s="7"/>
      <c r="J46" s="7"/>
      <c r="K46" s="11">
        <f>IF(D46="","",D46+E46)</f>
      </c>
      <c r="L46" s="11">
        <f>IF(F46="","",F46+G46)</f>
      </c>
      <c r="M46" s="11">
        <f>IF(K46="","",K46-L46)</f>
      </c>
      <c r="N46" s="11">
        <f>IF(H46="","",H46-I46)</f>
      </c>
      <c r="O46" s="11">
        <f>IF(N46="","",N46-J46)</f>
      </c>
      <c r="P46" s="11">
        <f>IF(OR(M46="",M46&lt;=0),"자본잠식",ROUND(L46/M46*100,1))</f>
      </c>
      <c r="Q46" s="11">
        <f>IF(OR(M46="",M46&lt;=0),"—",ROUND(O46/M46*100,1))</f>
      </c>
    </row>
    <row r="47">
      <c r="A47" s="11" t="str">
        <f>IF(종목!A12="","",종목!A12)</f>
      </c>
      <c r="B47" s="11" t="str">
        <f>IF(종목!A12="","",종목!B12)</f>
      </c>
      <c r="C47" s="11">
        <f>IF(종목!A12="","",게임설정!$B$9)</f>
      </c>
      <c r="D47" s="7"/>
      <c r="E47" s="7"/>
      <c r="F47" s="7"/>
      <c r="G47" s="7"/>
      <c r="H47" s="7"/>
      <c r="I47" s="7"/>
      <c r="J47" s="7"/>
      <c r="K47" s="11">
        <f>IF(D47="","",D47+E47)</f>
      </c>
      <c r="L47" s="11">
        <f>IF(F47="","",F47+G47)</f>
      </c>
      <c r="M47" s="11">
        <f>IF(K47="","",K47-L47)</f>
      </c>
      <c r="N47" s="11">
        <f>IF(H47="","",H47-I47)</f>
      </c>
      <c r="O47" s="11">
        <f>IF(N47="","",N47-J47)</f>
      </c>
      <c r="P47" s="11">
        <f>IF(OR(M47="",M47&lt;=0),"자본잠식",ROUND(L47/M47*100,1))</f>
      </c>
      <c r="Q47" s="11">
        <f>IF(OR(M47="",M47&lt;=0),"—",ROUND(O47/M47*100,1))</f>
      </c>
    </row>
    <row r="48">
      <c r="A48" s="11" t="str">
        <f>IF(종목!A12="","",종목!A12)</f>
      </c>
      <c r="B48" s="11" t="str">
        <f>IF(종목!A12="","",종목!B12)</f>
      </c>
      <c r="C48" s="11">
        <f>IF(종목!A12="","",게임설정!$B$10)</f>
      </c>
      <c r="D48" s="7"/>
      <c r="E48" s="7"/>
      <c r="F48" s="7"/>
      <c r="G48" s="7"/>
      <c r="H48" s="7"/>
      <c r="I48" s="7"/>
      <c r="J48" s="7"/>
      <c r="K48" s="11">
        <f>IF(D48="","",D48+E48)</f>
      </c>
      <c r="L48" s="11">
        <f>IF(F48="","",F48+G48)</f>
      </c>
      <c r="M48" s="11">
        <f>IF(K48="","",K48-L48)</f>
      </c>
      <c r="N48" s="11">
        <f>IF(H48="","",H48-I48)</f>
      </c>
      <c r="O48" s="11">
        <f>IF(N48="","",N48-J48)</f>
      </c>
      <c r="P48" s="11">
        <f>IF(OR(M48="",M48&lt;=0),"자본잠식",ROUND(L48/M48*100,1))</f>
      </c>
      <c r="Q48" s="11">
        <f>IF(OR(M48="",M48&lt;=0),"—",ROUND(O48/M48*100,1))</f>
      </c>
    </row>
    <row r="49">
      <c r="A49" s="11" t="str">
        <f>IF(종목!A12="","",종목!A12)</f>
      </c>
      <c r="B49" s="11" t="str">
        <f>IF(종목!A12="","",종목!B12)</f>
      </c>
      <c r="C49" s="11">
        <f>IF(종목!A12="","",게임설정!$B$11)</f>
      </c>
      <c r="D49" s="7"/>
      <c r="E49" s="7"/>
      <c r="F49" s="7"/>
      <c r="G49" s="7"/>
      <c r="H49" s="7"/>
      <c r="I49" s="7"/>
      <c r="J49" s="7"/>
      <c r="K49" s="11">
        <f>IF(D49="","",D49+E49)</f>
      </c>
      <c r="L49" s="11">
        <f>IF(F49="","",F49+G49)</f>
      </c>
      <c r="M49" s="11">
        <f>IF(K49="","",K49-L49)</f>
      </c>
      <c r="N49" s="11">
        <f>IF(H49="","",H49-I49)</f>
      </c>
      <c r="O49" s="11">
        <f>IF(N49="","",N49-J49)</f>
      </c>
      <c r="P49" s="11">
        <f>IF(OR(M49="",M49&lt;=0),"자본잠식",ROUND(L49/M49*100,1))</f>
      </c>
      <c r="Q49" s="11">
        <f>IF(OR(M49="",M49&lt;=0),"—",ROUND(O49/M49*100,1))</f>
      </c>
    </row>
    <row r="50">
      <c r="A50" s="11" t="str">
        <f>IF(종목!A12="","",종목!A12)</f>
      </c>
      <c r="B50" s="11" t="str">
        <f>IF(종목!A12="","",종목!B12)</f>
      </c>
      <c r="C50" s="11">
        <f>IF(종목!A12="","",게임설정!$B$12)</f>
      </c>
      <c r="D50" s="7"/>
      <c r="E50" s="7"/>
      <c r="F50" s="7"/>
      <c r="G50" s="7"/>
      <c r="H50" s="7"/>
      <c r="I50" s="7"/>
      <c r="J50" s="7"/>
      <c r="K50" s="11">
        <f>IF(D50="","",D50+E50)</f>
      </c>
      <c r="L50" s="11">
        <f>IF(F50="","",F50+G50)</f>
      </c>
      <c r="M50" s="11">
        <f>IF(K50="","",K50-L50)</f>
      </c>
      <c r="N50" s="11">
        <f>IF(H50="","",H50-I50)</f>
      </c>
      <c r="O50" s="11">
        <f>IF(N50="","",N50-J50)</f>
      </c>
      <c r="P50" s="11">
        <f>IF(OR(M50="",M50&lt;=0),"자본잠식",ROUND(L50/M50*100,1))</f>
      </c>
      <c r="Q50" s="11">
        <f>IF(OR(M50="",M50&lt;=0),"—",ROUND(O50/M50*100,1))</f>
      </c>
    </row>
    <row r="51">
      <c r="A51" s="11" t="str">
        <f>IF(종목!A12="","",종목!A12)</f>
      </c>
      <c r="B51" s="11" t="str">
        <f>IF(종목!A12="","",종목!B12)</f>
      </c>
      <c r="C51" s="11">
        <f>IF(종목!A12="","",게임설정!$B$13)</f>
      </c>
      <c r="D51" s="7"/>
      <c r="E51" s="7"/>
      <c r="F51" s="7"/>
      <c r="G51" s="7"/>
      <c r="H51" s="7"/>
      <c r="I51" s="7"/>
      <c r="J51" s="7"/>
      <c r="K51" s="11">
        <f>IF(D51="","",D51+E51)</f>
      </c>
      <c r="L51" s="11">
        <f>IF(F51="","",F51+G51)</f>
      </c>
      <c r="M51" s="11">
        <f>IF(K51="","",K51-L51)</f>
      </c>
      <c r="N51" s="11">
        <f>IF(H51="","",H51-I51)</f>
      </c>
      <c r="O51" s="11">
        <f>IF(N51="","",N51-J51)</f>
      </c>
      <c r="P51" s="11">
        <f>IF(OR(M51="",M51&lt;=0),"자본잠식",ROUND(L51/M51*100,1))</f>
      </c>
      <c r="Q51" s="11">
        <f>IF(OR(M51="",M51&lt;=0),"—",ROUND(O51/M51*100,1))</f>
      </c>
    </row>
    <row r="52">
      <c r="A52" s="11" t="str">
        <f>IF(종목!A12="","",종목!A12)</f>
      </c>
      <c r="B52" s="11" t="str">
        <f>IF(종목!A12="","",종목!B12)</f>
      </c>
      <c r="C52" s="11">
        <f>IF(종목!A12="","",게임설정!$B$8)</f>
      </c>
      <c r="D52" s="7"/>
      <c r="E52" s="7"/>
      <c r="F52" s="7"/>
      <c r="G52" s="7"/>
      <c r="H52" s="7"/>
      <c r="I52" s="7"/>
      <c r="J52" s="7"/>
      <c r="K52" s="11">
        <f>IF(D52="","",D52+E52)</f>
      </c>
      <c r="L52" s="11">
        <f>IF(F52="","",F52+G52)</f>
      </c>
      <c r="M52" s="11">
        <f>IF(K52="","",K52-L52)</f>
      </c>
      <c r="N52" s="11">
        <f>IF(H52="","",H52-I52)</f>
      </c>
      <c r="O52" s="11">
        <f>IF(N52="","",N52-J52)</f>
      </c>
      <c r="P52" s="11">
        <f>IF(OR(M52="",M52&lt;=0),"자본잠식",ROUND(L52/M52*100,1))</f>
      </c>
      <c r="Q52" s="11">
        <f>IF(OR(M52="",M52&lt;=0),"—",ROUND(O52/M52*100,1))</f>
      </c>
    </row>
    <row r="53">
      <c r="A53" s="11" t="str">
        <f>IF(종목!A13="","",종목!A13)</f>
      </c>
      <c r="B53" s="11" t="str">
        <f>IF(종목!A13="","",종목!B13)</f>
      </c>
      <c r="C53" s="11">
        <f>IF(종목!A13="","",게임설정!$B$9)</f>
      </c>
      <c r="D53" s="7"/>
      <c r="E53" s="7"/>
      <c r="F53" s="7"/>
      <c r="G53" s="7"/>
      <c r="H53" s="7"/>
      <c r="I53" s="7"/>
      <c r="J53" s="7"/>
      <c r="K53" s="11">
        <f>IF(D53="","",D53+E53)</f>
      </c>
      <c r="L53" s="11">
        <f>IF(F53="","",F53+G53)</f>
      </c>
      <c r="M53" s="11">
        <f>IF(K53="","",K53-L53)</f>
      </c>
      <c r="N53" s="11">
        <f>IF(H53="","",H53-I53)</f>
      </c>
      <c r="O53" s="11">
        <f>IF(N53="","",N53-J53)</f>
      </c>
      <c r="P53" s="11">
        <f>IF(OR(M53="",M53&lt;=0),"자본잠식",ROUND(L53/M53*100,1))</f>
      </c>
      <c r="Q53" s="11">
        <f>IF(OR(M53="",M53&lt;=0),"—",ROUND(O53/M53*100,1))</f>
      </c>
    </row>
    <row r="54">
      <c r="A54" s="11" t="str">
        <f>IF(종목!A13="","",종목!A13)</f>
      </c>
      <c r="B54" s="11" t="str">
        <f>IF(종목!A13="","",종목!B13)</f>
      </c>
      <c r="C54" s="11">
        <f>IF(종목!A13="","",게임설정!$B$10)</f>
      </c>
      <c r="D54" s="7"/>
      <c r="E54" s="7"/>
      <c r="F54" s="7"/>
      <c r="G54" s="7"/>
      <c r="H54" s="7"/>
      <c r="I54" s="7"/>
      <c r="J54" s="7"/>
      <c r="K54" s="11">
        <f>IF(D54="","",D54+E54)</f>
      </c>
      <c r="L54" s="11">
        <f>IF(F54="","",F54+G54)</f>
      </c>
      <c r="M54" s="11">
        <f>IF(K54="","",K54-L54)</f>
      </c>
      <c r="N54" s="11">
        <f>IF(H54="","",H54-I54)</f>
      </c>
      <c r="O54" s="11">
        <f>IF(N54="","",N54-J54)</f>
      </c>
      <c r="P54" s="11">
        <f>IF(OR(M54="",M54&lt;=0),"자본잠식",ROUND(L54/M54*100,1))</f>
      </c>
      <c r="Q54" s="11">
        <f>IF(OR(M54="",M54&lt;=0),"—",ROUND(O54/M54*100,1))</f>
      </c>
    </row>
    <row r="55">
      <c r="A55" s="11" t="str">
        <f>IF(종목!A13="","",종목!A13)</f>
      </c>
      <c r="B55" s="11" t="str">
        <f>IF(종목!A13="","",종목!B13)</f>
      </c>
      <c r="C55" s="11">
        <f>IF(종목!A13="","",게임설정!$B$11)</f>
      </c>
      <c r="D55" s="7"/>
      <c r="E55" s="7"/>
      <c r="F55" s="7"/>
      <c r="G55" s="7"/>
      <c r="H55" s="7"/>
      <c r="I55" s="7"/>
      <c r="J55" s="7"/>
      <c r="K55" s="11">
        <f>IF(D55="","",D55+E55)</f>
      </c>
      <c r="L55" s="11">
        <f>IF(F55="","",F55+G55)</f>
      </c>
      <c r="M55" s="11">
        <f>IF(K55="","",K55-L55)</f>
      </c>
      <c r="N55" s="11">
        <f>IF(H55="","",H55-I55)</f>
      </c>
      <c r="O55" s="11">
        <f>IF(N55="","",N55-J55)</f>
      </c>
      <c r="P55" s="11">
        <f>IF(OR(M55="",M55&lt;=0),"자본잠식",ROUND(L55/M55*100,1))</f>
      </c>
      <c r="Q55" s="11">
        <f>IF(OR(M55="",M55&lt;=0),"—",ROUND(O55/M55*100,1))</f>
      </c>
    </row>
    <row r="56">
      <c r="A56" s="11" t="str">
        <f>IF(종목!A13="","",종목!A13)</f>
      </c>
      <c r="B56" s="11" t="str">
        <f>IF(종목!A13="","",종목!B13)</f>
      </c>
      <c r="C56" s="11">
        <f>IF(종목!A13="","",게임설정!$B$12)</f>
      </c>
      <c r="D56" s="7"/>
      <c r="E56" s="7"/>
      <c r="F56" s="7"/>
      <c r="G56" s="7"/>
      <c r="H56" s="7"/>
      <c r="I56" s="7"/>
      <c r="J56" s="7"/>
      <c r="K56" s="11">
        <f>IF(D56="","",D56+E56)</f>
      </c>
      <c r="L56" s="11">
        <f>IF(F56="","",F56+G56)</f>
      </c>
      <c r="M56" s="11">
        <f>IF(K56="","",K56-L56)</f>
      </c>
      <c r="N56" s="11">
        <f>IF(H56="","",H56-I56)</f>
      </c>
      <c r="O56" s="11">
        <f>IF(N56="","",N56-J56)</f>
      </c>
      <c r="P56" s="11">
        <f>IF(OR(M56="",M56&lt;=0),"자본잠식",ROUND(L56/M56*100,1))</f>
      </c>
      <c r="Q56" s="11">
        <f>IF(OR(M56="",M56&lt;=0),"—",ROUND(O56/M56*100,1))</f>
      </c>
    </row>
    <row r="57">
      <c r="A57" s="11" t="str">
        <f>IF(종목!A13="","",종목!A13)</f>
      </c>
      <c r="B57" s="11" t="str">
        <f>IF(종목!A13="","",종목!B13)</f>
      </c>
      <c r="C57" s="11">
        <f>IF(종목!A13="","",게임설정!$B$13)</f>
      </c>
      <c r="D57" s="7"/>
      <c r="E57" s="7"/>
      <c r="F57" s="7"/>
      <c r="G57" s="7"/>
      <c r="H57" s="7"/>
      <c r="I57" s="7"/>
      <c r="J57" s="7"/>
      <c r="K57" s="11">
        <f>IF(D57="","",D57+E57)</f>
      </c>
      <c r="L57" s="11">
        <f>IF(F57="","",F57+G57)</f>
      </c>
      <c r="M57" s="11">
        <f>IF(K57="","",K57-L57)</f>
      </c>
      <c r="N57" s="11">
        <f>IF(H57="","",H57-I57)</f>
      </c>
      <c r="O57" s="11">
        <f>IF(N57="","",N57-J57)</f>
      </c>
      <c r="P57" s="11">
        <f>IF(OR(M57="",M57&lt;=0),"자본잠식",ROUND(L57/M57*100,1))</f>
      </c>
      <c r="Q57" s="11">
        <f>IF(OR(M57="",M57&lt;=0),"—",ROUND(O57/M57*100,1))</f>
      </c>
    </row>
    <row r="58">
      <c r="A58" s="11" t="str">
        <f>IF(종목!A13="","",종목!A13)</f>
      </c>
      <c r="B58" s="11" t="str">
        <f>IF(종목!A13="","",종목!B13)</f>
      </c>
      <c r="C58" s="11">
        <f>IF(종목!A13="","",게임설정!$B$8)</f>
      </c>
      <c r="D58" s="7"/>
      <c r="E58" s="7"/>
      <c r="F58" s="7"/>
      <c r="G58" s="7"/>
      <c r="H58" s="7"/>
      <c r="I58" s="7"/>
      <c r="J58" s="7"/>
      <c r="K58" s="11">
        <f>IF(D58="","",D58+E58)</f>
      </c>
      <c r="L58" s="11">
        <f>IF(F58="","",F58+G58)</f>
      </c>
      <c r="M58" s="11">
        <f>IF(K58="","",K58-L58)</f>
      </c>
      <c r="N58" s="11">
        <f>IF(H58="","",H58-I58)</f>
      </c>
      <c r="O58" s="11">
        <f>IF(N58="","",N58-J58)</f>
      </c>
      <c r="P58" s="11">
        <f>IF(OR(M58="",M58&lt;=0),"자본잠식",ROUND(L58/M58*100,1))</f>
      </c>
      <c r="Q58" s="11">
        <f>IF(OR(M58="",M58&lt;=0),"—",ROUND(O58/M58*100,1))</f>
      </c>
    </row>
    <row r="59">
      <c r="A59" s="11" t="str">
        <f>IF(종목!A14="","",종목!A14)</f>
      </c>
      <c r="B59" s="11" t="str">
        <f>IF(종목!A14="","",종목!B14)</f>
      </c>
      <c r="C59" s="11">
        <f>IF(종목!A14="","",게임설정!$B$9)</f>
      </c>
      <c r="D59" s="7"/>
      <c r="E59" s="7"/>
      <c r="F59" s="7"/>
      <c r="G59" s="7"/>
      <c r="H59" s="7"/>
      <c r="I59" s="7"/>
      <c r="J59" s="7"/>
      <c r="K59" s="11">
        <f>IF(D59="","",D59+E59)</f>
      </c>
      <c r="L59" s="11">
        <f>IF(F59="","",F59+G59)</f>
      </c>
      <c r="M59" s="11">
        <f>IF(K59="","",K59-L59)</f>
      </c>
      <c r="N59" s="11">
        <f>IF(H59="","",H59-I59)</f>
      </c>
      <c r="O59" s="11">
        <f>IF(N59="","",N59-J59)</f>
      </c>
      <c r="P59" s="11">
        <f>IF(OR(M59="",M59&lt;=0),"자본잠식",ROUND(L59/M59*100,1))</f>
      </c>
      <c r="Q59" s="11">
        <f>IF(OR(M59="",M59&lt;=0),"—",ROUND(O59/M59*100,1))</f>
      </c>
    </row>
    <row r="60">
      <c r="A60" s="11" t="str">
        <f>IF(종목!A14="","",종목!A14)</f>
      </c>
      <c r="B60" s="11" t="str">
        <f>IF(종목!A14="","",종목!B14)</f>
      </c>
      <c r="C60" s="11">
        <f>IF(종목!A14="","",게임설정!$B$10)</f>
      </c>
      <c r="D60" s="7"/>
      <c r="E60" s="7"/>
      <c r="F60" s="7"/>
      <c r="G60" s="7"/>
      <c r="H60" s="7"/>
      <c r="I60" s="7"/>
      <c r="J60" s="7"/>
      <c r="K60" s="11">
        <f>IF(D60="","",D60+E60)</f>
      </c>
      <c r="L60" s="11">
        <f>IF(F60="","",F60+G60)</f>
      </c>
      <c r="M60" s="11">
        <f>IF(K60="","",K60-L60)</f>
      </c>
      <c r="N60" s="11">
        <f>IF(H60="","",H60-I60)</f>
      </c>
      <c r="O60" s="11">
        <f>IF(N60="","",N60-J60)</f>
      </c>
      <c r="P60" s="11">
        <f>IF(OR(M60="",M60&lt;=0),"자본잠식",ROUND(L60/M60*100,1))</f>
      </c>
      <c r="Q60" s="11">
        <f>IF(OR(M60="",M60&lt;=0),"—",ROUND(O60/M60*100,1))</f>
      </c>
    </row>
    <row r="61">
      <c r="A61" s="11" t="str">
        <f>IF(종목!A14="","",종목!A14)</f>
      </c>
      <c r="B61" s="11" t="str">
        <f>IF(종목!A14="","",종목!B14)</f>
      </c>
      <c r="C61" s="11">
        <f>IF(종목!A14="","",게임설정!$B$11)</f>
      </c>
      <c r="D61" s="7"/>
      <c r="E61" s="7"/>
      <c r="F61" s="7"/>
      <c r="G61" s="7"/>
      <c r="H61" s="7"/>
      <c r="I61" s="7"/>
      <c r="J61" s="7"/>
      <c r="K61" s="11">
        <f>IF(D61="","",D61+E61)</f>
      </c>
      <c r="L61" s="11">
        <f>IF(F61="","",F61+G61)</f>
      </c>
      <c r="M61" s="11">
        <f>IF(K61="","",K61-L61)</f>
      </c>
      <c r="N61" s="11">
        <f>IF(H61="","",H61-I61)</f>
      </c>
      <c r="O61" s="11">
        <f>IF(N61="","",N61-J61)</f>
      </c>
      <c r="P61" s="11">
        <f>IF(OR(M61="",M61&lt;=0),"자본잠식",ROUND(L61/M61*100,1))</f>
      </c>
      <c r="Q61" s="11">
        <f>IF(OR(M61="",M61&lt;=0),"—",ROUND(O61/M61*100,1))</f>
      </c>
    </row>
    <row r="62">
      <c r="A62" s="11" t="str">
        <f>IF(종목!A14="","",종목!A14)</f>
      </c>
      <c r="B62" s="11" t="str">
        <f>IF(종목!A14="","",종목!B14)</f>
      </c>
      <c r="C62" s="11">
        <f>IF(종목!A14="","",게임설정!$B$12)</f>
      </c>
      <c r="D62" s="7"/>
      <c r="E62" s="7"/>
      <c r="F62" s="7"/>
      <c r="G62" s="7"/>
      <c r="H62" s="7"/>
      <c r="I62" s="7"/>
      <c r="J62" s="7"/>
      <c r="K62" s="11">
        <f>IF(D62="","",D62+E62)</f>
      </c>
      <c r="L62" s="11">
        <f>IF(F62="","",F62+G62)</f>
      </c>
      <c r="M62" s="11">
        <f>IF(K62="","",K62-L62)</f>
      </c>
      <c r="N62" s="11">
        <f>IF(H62="","",H62-I62)</f>
      </c>
      <c r="O62" s="11">
        <f>IF(N62="","",N62-J62)</f>
      </c>
      <c r="P62" s="11">
        <f>IF(OR(M62="",M62&lt;=0),"자본잠식",ROUND(L62/M62*100,1))</f>
      </c>
      <c r="Q62" s="11">
        <f>IF(OR(M62="",M62&lt;=0),"—",ROUND(O62/M62*100,1))</f>
      </c>
    </row>
    <row r="63">
      <c r="A63" s="11" t="str">
        <f>IF(종목!A14="","",종목!A14)</f>
      </c>
      <c r="B63" s="11" t="str">
        <f>IF(종목!A14="","",종목!B14)</f>
      </c>
      <c r="C63" s="11">
        <f>IF(종목!A14="","",게임설정!$B$13)</f>
      </c>
      <c r="D63" s="7"/>
      <c r="E63" s="7"/>
      <c r="F63" s="7"/>
      <c r="G63" s="7"/>
      <c r="H63" s="7"/>
      <c r="I63" s="7"/>
      <c r="J63" s="7"/>
      <c r="K63" s="11">
        <f>IF(D63="","",D63+E63)</f>
      </c>
      <c r="L63" s="11">
        <f>IF(F63="","",F63+G63)</f>
      </c>
      <c r="M63" s="11">
        <f>IF(K63="","",K63-L63)</f>
      </c>
      <c r="N63" s="11">
        <f>IF(H63="","",H63-I63)</f>
      </c>
      <c r="O63" s="11">
        <f>IF(N63="","",N63-J63)</f>
      </c>
      <c r="P63" s="11">
        <f>IF(OR(M63="",M63&lt;=0),"자본잠식",ROUND(L63/M63*100,1))</f>
      </c>
      <c r="Q63" s="11">
        <f>IF(OR(M63="",M63&lt;=0),"—",ROUND(O63/M63*100,1))</f>
      </c>
    </row>
    <row r="64">
      <c r="A64" s="11" t="str">
        <f>IF(종목!A14="","",종목!A14)</f>
      </c>
      <c r="B64" s="11" t="str">
        <f>IF(종목!A14="","",종목!B14)</f>
      </c>
      <c r="C64" s="11">
        <f>IF(종목!A14="","",게임설정!$B$8)</f>
      </c>
      <c r="D64" s="7"/>
      <c r="E64" s="7"/>
      <c r="F64" s="7"/>
      <c r="G64" s="7"/>
      <c r="H64" s="7"/>
      <c r="I64" s="7"/>
      <c r="J64" s="7"/>
      <c r="K64" s="11">
        <f>IF(D64="","",D64+E64)</f>
      </c>
      <c r="L64" s="11">
        <f>IF(F64="","",F64+G64)</f>
      </c>
      <c r="M64" s="11">
        <f>IF(K64="","",K64-L64)</f>
      </c>
      <c r="N64" s="11">
        <f>IF(H64="","",H64-I64)</f>
      </c>
      <c r="O64" s="11">
        <f>IF(N64="","",N64-J64)</f>
      </c>
      <c r="P64" s="11">
        <f>IF(OR(M64="",M64&lt;=0),"자본잠식",ROUND(L64/M64*100,1))</f>
      </c>
      <c r="Q64" s="11">
        <f>IF(OR(M64="",M64&lt;=0),"—",ROUND(O64/M64*100,1))</f>
      </c>
    </row>
    <row r="65">
      <c r="A65" s="11" t="str">
        <f>IF(종목!A15="","",종목!A15)</f>
      </c>
      <c r="B65" s="11" t="str">
        <f>IF(종목!A15="","",종목!B15)</f>
      </c>
      <c r="C65" s="11">
        <f>IF(종목!A15="","",게임설정!$B$9)</f>
      </c>
      <c r="D65" s="7"/>
      <c r="E65" s="7"/>
      <c r="F65" s="7"/>
      <c r="G65" s="7"/>
      <c r="H65" s="7"/>
      <c r="I65" s="7"/>
      <c r="J65" s="7"/>
      <c r="K65" s="11">
        <f>IF(D65="","",D65+E65)</f>
      </c>
      <c r="L65" s="11">
        <f>IF(F65="","",F65+G65)</f>
      </c>
      <c r="M65" s="11">
        <f>IF(K65="","",K65-L65)</f>
      </c>
      <c r="N65" s="11">
        <f>IF(H65="","",H65-I65)</f>
      </c>
      <c r="O65" s="11">
        <f>IF(N65="","",N65-J65)</f>
      </c>
      <c r="P65" s="11">
        <f>IF(OR(M65="",M65&lt;=0),"자본잠식",ROUND(L65/M65*100,1))</f>
      </c>
      <c r="Q65" s="11">
        <f>IF(OR(M65="",M65&lt;=0),"—",ROUND(O65/M65*100,1))</f>
      </c>
    </row>
    <row r="66">
      <c r="A66" s="11" t="str">
        <f>IF(종목!A15="","",종목!A15)</f>
      </c>
      <c r="B66" s="11" t="str">
        <f>IF(종목!A15="","",종목!B15)</f>
      </c>
      <c r="C66" s="11">
        <f>IF(종목!A15="","",게임설정!$B$10)</f>
      </c>
      <c r="D66" s="7"/>
      <c r="E66" s="7"/>
      <c r="F66" s="7"/>
      <c r="G66" s="7"/>
      <c r="H66" s="7"/>
      <c r="I66" s="7"/>
      <c r="J66" s="7"/>
      <c r="K66" s="11">
        <f>IF(D66="","",D66+E66)</f>
      </c>
      <c r="L66" s="11">
        <f>IF(F66="","",F66+G66)</f>
      </c>
      <c r="M66" s="11">
        <f>IF(K66="","",K66-L66)</f>
      </c>
      <c r="N66" s="11">
        <f>IF(H66="","",H66-I66)</f>
      </c>
      <c r="O66" s="11">
        <f>IF(N66="","",N66-J66)</f>
      </c>
      <c r="P66" s="11">
        <f>IF(OR(M66="",M66&lt;=0),"자본잠식",ROUND(L66/M66*100,1))</f>
      </c>
      <c r="Q66" s="11">
        <f>IF(OR(M66="",M66&lt;=0),"—",ROUND(O66/M66*100,1))</f>
      </c>
    </row>
    <row r="67">
      <c r="A67" s="11" t="str">
        <f>IF(종목!A15="","",종목!A15)</f>
      </c>
      <c r="B67" s="11" t="str">
        <f>IF(종목!A15="","",종목!B15)</f>
      </c>
      <c r="C67" s="11">
        <f>IF(종목!A15="","",게임설정!$B$11)</f>
      </c>
      <c r="D67" s="7"/>
      <c r="E67" s="7"/>
      <c r="F67" s="7"/>
      <c r="G67" s="7"/>
      <c r="H67" s="7"/>
      <c r="I67" s="7"/>
      <c r="J67" s="7"/>
      <c r="K67" s="11">
        <f>IF(D67="","",D67+E67)</f>
      </c>
      <c r="L67" s="11">
        <f>IF(F67="","",F67+G67)</f>
      </c>
      <c r="M67" s="11">
        <f>IF(K67="","",K67-L67)</f>
      </c>
      <c r="N67" s="11">
        <f>IF(H67="","",H67-I67)</f>
      </c>
      <c r="O67" s="11">
        <f>IF(N67="","",N67-J67)</f>
      </c>
      <c r="P67" s="11">
        <f>IF(OR(M67="",M67&lt;=0),"자본잠식",ROUND(L67/M67*100,1))</f>
      </c>
      <c r="Q67" s="11">
        <f>IF(OR(M67="",M67&lt;=0),"—",ROUND(O67/M67*100,1))</f>
      </c>
    </row>
    <row r="68">
      <c r="A68" s="11" t="str">
        <f>IF(종목!A15="","",종목!A15)</f>
      </c>
      <c r="B68" s="11" t="str">
        <f>IF(종목!A15="","",종목!B15)</f>
      </c>
      <c r="C68" s="11">
        <f>IF(종목!A15="","",게임설정!$B$12)</f>
      </c>
      <c r="D68" s="7"/>
      <c r="E68" s="7"/>
      <c r="F68" s="7"/>
      <c r="G68" s="7"/>
      <c r="H68" s="7"/>
      <c r="I68" s="7"/>
      <c r="J68" s="7"/>
      <c r="K68" s="11">
        <f>IF(D68="","",D68+E68)</f>
      </c>
      <c r="L68" s="11">
        <f>IF(F68="","",F68+G68)</f>
      </c>
      <c r="M68" s="11">
        <f>IF(K68="","",K68-L68)</f>
      </c>
      <c r="N68" s="11">
        <f>IF(H68="","",H68-I68)</f>
      </c>
      <c r="O68" s="11">
        <f>IF(N68="","",N68-J68)</f>
      </c>
      <c r="P68" s="11">
        <f>IF(OR(M68="",M68&lt;=0),"자본잠식",ROUND(L68/M68*100,1))</f>
      </c>
      <c r="Q68" s="11">
        <f>IF(OR(M68="",M68&lt;=0),"—",ROUND(O68/M68*100,1))</f>
      </c>
    </row>
    <row r="69">
      <c r="A69" s="11" t="str">
        <f>IF(종목!A15="","",종목!A15)</f>
      </c>
      <c r="B69" s="11" t="str">
        <f>IF(종목!A15="","",종목!B15)</f>
      </c>
      <c r="C69" s="11">
        <f>IF(종목!A15="","",게임설정!$B$13)</f>
      </c>
      <c r="D69" s="7"/>
      <c r="E69" s="7"/>
      <c r="F69" s="7"/>
      <c r="G69" s="7"/>
      <c r="H69" s="7"/>
      <c r="I69" s="7"/>
      <c r="J69" s="7"/>
      <c r="K69" s="11">
        <f>IF(D69="","",D69+E69)</f>
      </c>
      <c r="L69" s="11">
        <f>IF(F69="","",F69+G69)</f>
      </c>
      <c r="M69" s="11">
        <f>IF(K69="","",K69-L69)</f>
      </c>
      <c r="N69" s="11">
        <f>IF(H69="","",H69-I69)</f>
      </c>
      <c r="O69" s="11">
        <f>IF(N69="","",N69-J69)</f>
      </c>
      <c r="P69" s="11">
        <f>IF(OR(M69="",M69&lt;=0),"자본잠식",ROUND(L69/M69*100,1))</f>
      </c>
      <c r="Q69" s="11">
        <f>IF(OR(M69="",M69&lt;=0),"—",ROUND(O69/M69*100,1))</f>
      </c>
    </row>
    <row r="70">
      <c r="A70" s="11" t="str">
        <f>IF(종목!A15="","",종목!A15)</f>
      </c>
      <c r="B70" s="11" t="str">
        <f>IF(종목!A15="","",종목!B15)</f>
      </c>
      <c r="C70" s="11">
        <f>IF(종목!A15="","",게임설정!$B$8)</f>
      </c>
      <c r="D70" s="7"/>
      <c r="E70" s="7"/>
      <c r="F70" s="7"/>
      <c r="G70" s="7"/>
      <c r="H70" s="7"/>
      <c r="I70" s="7"/>
      <c r="J70" s="7"/>
      <c r="K70" s="11">
        <f>IF(D70="","",D70+E70)</f>
      </c>
      <c r="L70" s="11">
        <f>IF(F70="","",F70+G70)</f>
      </c>
      <c r="M70" s="11">
        <f>IF(K70="","",K70-L70)</f>
      </c>
      <c r="N70" s="11">
        <f>IF(H70="","",H70-I70)</f>
      </c>
      <c r="O70" s="11">
        <f>IF(N70="","",N70-J70)</f>
      </c>
      <c r="P70" s="11">
        <f>IF(OR(M70="",M70&lt;=0),"자본잠식",ROUND(L70/M70*100,1))</f>
      </c>
      <c r="Q70" s="11">
        <f>IF(OR(M70="",M70&lt;=0),"—",ROUND(O70/M70*100,1))</f>
      </c>
    </row>
    <row r="71">
      <c r="A71" s="11" t="str">
        <f>IF(종목!A16="","",종목!A16)</f>
      </c>
      <c r="B71" s="11" t="str">
        <f>IF(종목!A16="","",종목!B16)</f>
      </c>
      <c r="C71" s="11">
        <f>IF(종목!A16="","",게임설정!$B$9)</f>
      </c>
      <c r="D71" s="7"/>
      <c r="E71" s="7"/>
      <c r="F71" s="7"/>
      <c r="G71" s="7"/>
      <c r="H71" s="7"/>
      <c r="I71" s="7"/>
      <c r="J71" s="7"/>
      <c r="K71" s="11">
        <f>IF(D71="","",D71+E71)</f>
      </c>
      <c r="L71" s="11">
        <f>IF(F71="","",F71+G71)</f>
      </c>
      <c r="M71" s="11">
        <f>IF(K71="","",K71-L71)</f>
      </c>
      <c r="N71" s="11">
        <f>IF(H71="","",H71-I71)</f>
      </c>
      <c r="O71" s="11">
        <f>IF(N71="","",N71-J71)</f>
      </c>
      <c r="P71" s="11">
        <f>IF(OR(M71="",M71&lt;=0),"자본잠식",ROUND(L71/M71*100,1))</f>
      </c>
      <c r="Q71" s="11">
        <f>IF(OR(M71="",M71&lt;=0),"—",ROUND(O71/M71*100,1))</f>
      </c>
    </row>
    <row r="72">
      <c r="A72" s="11" t="str">
        <f>IF(종목!A16="","",종목!A16)</f>
      </c>
      <c r="B72" s="11" t="str">
        <f>IF(종목!A16="","",종목!B16)</f>
      </c>
      <c r="C72" s="11">
        <f>IF(종목!A16="","",게임설정!$B$10)</f>
      </c>
      <c r="D72" s="7"/>
      <c r="E72" s="7"/>
      <c r="F72" s="7"/>
      <c r="G72" s="7"/>
      <c r="H72" s="7"/>
      <c r="I72" s="7"/>
      <c r="J72" s="7"/>
      <c r="K72" s="11">
        <f>IF(D72="","",D72+E72)</f>
      </c>
      <c r="L72" s="11">
        <f>IF(F72="","",F72+G72)</f>
      </c>
      <c r="M72" s="11">
        <f>IF(K72="","",K72-L72)</f>
      </c>
      <c r="N72" s="11">
        <f>IF(H72="","",H72-I72)</f>
      </c>
      <c r="O72" s="11">
        <f>IF(N72="","",N72-J72)</f>
      </c>
      <c r="P72" s="11">
        <f>IF(OR(M72="",M72&lt;=0),"자본잠식",ROUND(L72/M72*100,1))</f>
      </c>
      <c r="Q72" s="11">
        <f>IF(OR(M72="",M72&lt;=0),"—",ROUND(O72/M72*100,1))</f>
      </c>
    </row>
    <row r="73">
      <c r="A73" s="11" t="str">
        <f>IF(종목!A16="","",종목!A16)</f>
      </c>
      <c r="B73" s="11" t="str">
        <f>IF(종목!A16="","",종목!B16)</f>
      </c>
      <c r="C73" s="11">
        <f>IF(종목!A16="","",게임설정!$B$11)</f>
      </c>
      <c r="D73" s="7"/>
      <c r="E73" s="7"/>
      <c r="F73" s="7"/>
      <c r="G73" s="7"/>
      <c r="H73" s="7"/>
      <c r="I73" s="7"/>
      <c r="J73" s="7"/>
      <c r="K73" s="11">
        <f>IF(D73="","",D73+E73)</f>
      </c>
      <c r="L73" s="11">
        <f>IF(F73="","",F73+G73)</f>
      </c>
      <c r="M73" s="11">
        <f>IF(K73="","",K73-L73)</f>
      </c>
      <c r="N73" s="11">
        <f>IF(H73="","",H73-I73)</f>
      </c>
      <c r="O73" s="11">
        <f>IF(N73="","",N73-J73)</f>
      </c>
      <c r="P73" s="11">
        <f>IF(OR(M73="",M73&lt;=0),"자본잠식",ROUND(L73/M73*100,1))</f>
      </c>
      <c r="Q73" s="11">
        <f>IF(OR(M73="",M73&lt;=0),"—",ROUND(O73/M73*100,1))</f>
      </c>
    </row>
    <row r="74">
      <c r="A74" s="11" t="str">
        <f>IF(종목!A16="","",종목!A16)</f>
      </c>
      <c r="B74" s="11" t="str">
        <f>IF(종목!A16="","",종목!B16)</f>
      </c>
      <c r="C74" s="11">
        <f>IF(종목!A16="","",게임설정!$B$12)</f>
      </c>
      <c r="D74" s="7"/>
      <c r="E74" s="7"/>
      <c r="F74" s="7"/>
      <c r="G74" s="7"/>
      <c r="H74" s="7"/>
      <c r="I74" s="7"/>
      <c r="J74" s="7"/>
      <c r="K74" s="11">
        <f>IF(D74="","",D74+E74)</f>
      </c>
      <c r="L74" s="11">
        <f>IF(F74="","",F74+G74)</f>
      </c>
      <c r="M74" s="11">
        <f>IF(K74="","",K74-L74)</f>
      </c>
      <c r="N74" s="11">
        <f>IF(H74="","",H74-I74)</f>
      </c>
      <c r="O74" s="11">
        <f>IF(N74="","",N74-J74)</f>
      </c>
      <c r="P74" s="11">
        <f>IF(OR(M74="",M74&lt;=0),"자본잠식",ROUND(L74/M74*100,1))</f>
      </c>
      <c r="Q74" s="11">
        <f>IF(OR(M74="",M74&lt;=0),"—",ROUND(O74/M74*100,1))</f>
      </c>
    </row>
    <row r="75">
      <c r="A75" s="11" t="str">
        <f>IF(종목!A16="","",종목!A16)</f>
      </c>
      <c r="B75" s="11" t="str">
        <f>IF(종목!A16="","",종목!B16)</f>
      </c>
      <c r="C75" s="11">
        <f>IF(종목!A16="","",게임설정!$B$13)</f>
      </c>
      <c r="D75" s="7"/>
      <c r="E75" s="7"/>
      <c r="F75" s="7"/>
      <c r="G75" s="7"/>
      <c r="H75" s="7"/>
      <c r="I75" s="7"/>
      <c r="J75" s="7"/>
      <c r="K75" s="11">
        <f>IF(D75="","",D75+E75)</f>
      </c>
      <c r="L75" s="11">
        <f>IF(F75="","",F75+G75)</f>
      </c>
      <c r="M75" s="11">
        <f>IF(K75="","",K75-L75)</f>
      </c>
      <c r="N75" s="11">
        <f>IF(H75="","",H75-I75)</f>
      </c>
      <c r="O75" s="11">
        <f>IF(N75="","",N75-J75)</f>
      </c>
      <c r="P75" s="11">
        <f>IF(OR(M75="",M75&lt;=0),"자본잠식",ROUND(L75/M75*100,1))</f>
      </c>
      <c r="Q75" s="11">
        <f>IF(OR(M75="",M75&lt;=0),"—",ROUND(O75/M75*100,1))</f>
      </c>
    </row>
    <row r="76">
      <c r="A76" s="11" t="str">
        <f>IF(종목!A16="","",종목!A16)</f>
      </c>
      <c r="B76" s="11" t="str">
        <f>IF(종목!A16="","",종목!B16)</f>
      </c>
      <c r="C76" s="11">
        <f>IF(종목!A16="","",게임설정!$B$8)</f>
      </c>
      <c r="D76" s="7"/>
      <c r="E76" s="7"/>
      <c r="F76" s="7"/>
      <c r="G76" s="7"/>
      <c r="H76" s="7"/>
      <c r="I76" s="7"/>
      <c r="J76" s="7"/>
      <c r="K76" s="11">
        <f>IF(D76="","",D76+E76)</f>
      </c>
      <c r="L76" s="11">
        <f>IF(F76="","",F76+G76)</f>
      </c>
      <c r="M76" s="11">
        <f>IF(K76="","",K76-L76)</f>
      </c>
      <c r="N76" s="11">
        <f>IF(H76="","",H76-I76)</f>
      </c>
      <c r="O76" s="11">
        <f>IF(N76="","",N76-J76)</f>
      </c>
      <c r="P76" s="11">
        <f>IF(OR(M76="",M76&lt;=0),"자본잠식",ROUND(L76/M76*100,1))</f>
      </c>
      <c r="Q76" s="11">
        <f>IF(OR(M76="",M76&lt;=0),"—",ROUND(O76/M76*100,1))</f>
      </c>
    </row>
    <row r="77">
      <c r="A77" s="11" t="str">
        <f>IF(종목!A17="","",종목!A17)</f>
      </c>
      <c r="B77" s="11" t="str">
        <f>IF(종목!A17="","",종목!B17)</f>
      </c>
      <c r="C77" s="11">
        <f>IF(종목!A17="","",게임설정!$B$9)</f>
      </c>
      <c r="D77" s="7"/>
      <c r="E77" s="7"/>
      <c r="F77" s="7"/>
      <c r="G77" s="7"/>
      <c r="H77" s="7"/>
      <c r="I77" s="7"/>
      <c r="J77" s="7"/>
      <c r="K77" s="11">
        <f>IF(D77="","",D77+E77)</f>
      </c>
      <c r="L77" s="11">
        <f>IF(F77="","",F77+G77)</f>
      </c>
      <c r="M77" s="11">
        <f>IF(K77="","",K77-L77)</f>
      </c>
      <c r="N77" s="11">
        <f>IF(H77="","",H77-I77)</f>
      </c>
      <c r="O77" s="11">
        <f>IF(N77="","",N77-J77)</f>
      </c>
      <c r="P77" s="11">
        <f>IF(OR(M77="",M77&lt;=0),"자본잠식",ROUND(L77/M77*100,1))</f>
      </c>
      <c r="Q77" s="11">
        <f>IF(OR(M77="",M77&lt;=0),"—",ROUND(O77/M77*100,1))</f>
      </c>
    </row>
    <row r="78">
      <c r="A78" s="11" t="str">
        <f>IF(종목!A17="","",종목!A17)</f>
      </c>
      <c r="B78" s="11" t="str">
        <f>IF(종목!A17="","",종목!B17)</f>
      </c>
      <c r="C78" s="11">
        <f>IF(종목!A17="","",게임설정!$B$10)</f>
      </c>
      <c r="D78" s="7"/>
      <c r="E78" s="7"/>
      <c r="F78" s="7"/>
      <c r="G78" s="7"/>
      <c r="H78" s="7"/>
      <c r="I78" s="7"/>
      <c r="J78" s="7"/>
      <c r="K78" s="11">
        <f>IF(D78="","",D78+E78)</f>
      </c>
      <c r="L78" s="11">
        <f>IF(F78="","",F78+G78)</f>
      </c>
      <c r="M78" s="11">
        <f>IF(K78="","",K78-L78)</f>
      </c>
      <c r="N78" s="11">
        <f>IF(H78="","",H78-I78)</f>
      </c>
      <c r="O78" s="11">
        <f>IF(N78="","",N78-J78)</f>
      </c>
      <c r="P78" s="11">
        <f>IF(OR(M78="",M78&lt;=0),"자본잠식",ROUND(L78/M78*100,1))</f>
      </c>
      <c r="Q78" s="11">
        <f>IF(OR(M78="",M78&lt;=0),"—",ROUND(O78/M78*100,1))</f>
      </c>
    </row>
    <row r="79">
      <c r="A79" s="11" t="str">
        <f>IF(종목!A17="","",종목!A17)</f>
      </c>
      <c r="B79" s="11" t="str">
        <f>IF(종목!A17="","",종목!B17)</f>
      </c>
      <c r="C79" s="11">
        <f>IF(종목!A17="","",게임설정!$B$11)</f>
      </c>
      <c r="D79" s="7"/>
      <c r="E79" s="7"/>
      <c r="F79" s="7"/>
      <c r="G79" s="7"/>
      <c r="H79" s="7"/>
      <c r="I79" s="7"/>
      <c r="J79" s="7"/>
      <c r="K79" s="11">
        <f>IF(D79="","",D79+E79)</f>
      </c>
      <c r="L79" s="11">
        <f>IF(F79="","",F79+G79)</f>
      </c>
      <c r="M79" s="11">
        <f>IF(K79="","",K79-L79)</f>
      </c>
      <c r="N79" s="11">
        <f>IF(H79="","",H79-I79)</f>
      </c>
      <c r="O79" s="11">
        <f>IF(N79="","",N79-J79)</f>
      </c>
      <c r="P79" s="11">
        <f>IF(OR(M79="",M79&lt;=0),"자본잠식",ROUND(L79/M79*100,1))</f>
      </c>
      <c r="Q79" s="11">
        <f>IF(OR(M79="",M79&lt;=0),"—",ROUND(O79/M79*100,1))</f>
      </c>
    </row>
    <row r="80">
      <c r="A80" s="11" t="str">
        <f>IF(종목!A17="","",종목!A17)</f>
      </c>
      <c r="B80" s="11" t="str">
        <f>IF(종목!A17="","",종목!B17)</f>
      </c>
      <c r="C80" s="11">
        <f>IF(종목!A17="","",게임설정!$B$12)</f>
      </c>
      <c r="D80" s="7"/>
      <c r="E80" s="7"/>
      <c r="F80" s="7"/>
      <c r="G80" s="7"/>
      <c r="H80" s="7"/>
      <c r="I80" s="7"/>
      <c r="J80" s="7"/>
      <c r="K80" s="11">
        <f>IF(D80="","",D80+E80)</f>
      </c>
      <c r="L80" s="11">
        <f>IF(F80="","",F80+G80)</f>
      </c>
      <c r="M80" s="11">
        <f>IF(K80="","",K80-L80)</f>
      </c>
      <c r="N80" s="11">
        <f>IF(H80="","",H80-I80)</f>
      </c>
      <c r="O80" s="11">
        <f>IF(N80="","",N80-J80)</f>
      </c>
      <c r="P80" s="11">
        <f>IF(OR(M80="",M80&lt;=0),"자본잠식",ROUND(L80/M80*100,1))</f>
      </c>
      <c r="Q80" s="11">
        <f>IF(OR(M80="",M80&lt;=0),"—",ROUND(O80/M80*100,1))</f>
      </c>
    </row>
    <row r="81">
      <c r="A81" s="11" t="str">
        <f>IF(종목!A17="","",종목!A17)</f>
      </c>
      <c r="B81" s="11" t="str">
        <f>IF(종목!A17="","",종목!B17)</f>
      </c>
      <c r="C81" s="11">
        <f>IF(종목!A17="","",게임설정!$B$13)</f>
      </c>
      <c r="D81" s="7"/>
      <c r="E81" s="7"/>
      <c r="F81" s="7"/>
      <c r="G81" s="7"/>
      <c r="H81" s="7"/>
      <c r="I81" s="7"/>
      <c r="J81" s="7"/>
      <c r="K81" s="11">
        <f>IF(D81="","",D81+E81)</f>
      </c>
      <c r="L81" s="11">
        <f>IF(F81="","",F81+G81)</f>
      </c>
      <c r="M81" s="11">
        <f>IF(K81="","",K81-L81)</f>
      </c>
      <c r="N81" s="11">
        <f>IF(H81="","",H81-I81)</f>
      </c>
      <c r="O81" s="11">
        <f>IF(N81="","",N81-J81)</f>
      </c>
      <c r="P81" s="11">
        <f>IF(OR(M81="",M81&lt;=0),"자본잠식",ROUND(L81/M81*100,1))</f>
      </c>
      <c r="Q81" s="11">
        <f>IF(OR(M81="",M81&lt;=0),"—",ROUND(O81/M81*100,1))</f>
      </c>
    </row>
    <row r="82">
      <c r="A82" s="11" t="str">
        <f>IF(종목!A17="","",종목!A17)</f>
      </c>
      <c r="B82" s="11" t="str">
        <f>IF(종목!A17="","",종목!B17)</f>
      </c>
      <c r="C82" s="11">
        <f>IF(종목!A17="","",게임설정!$B$8)</f>
      </c>
      <c r="D82" s="7"/>
      <c r="E82" s="7"/>
      <c r="F82" s="7"/>
      <c r="G82" s="7"/>
      <c r="H82" s="7"/>
      <c r="I82" s="7"/>
      <c r="J82" s="7"/>
      <c r="K82" s="11">
        <f>IF(D82="","",D82+E82)</f>
      </c>
      <c r="L82" s="11">
        <f>IF(F82="","",F82+G82)</f>
      </c>
      <c r="M82" s="11">
        <f>IF(K82="","",K82-L82)</f>
      </c>
      <c r="N82" s="11">
        <f>IF(H82="","",H82-I82)</f>
      </c>
      <c r="O82" s="11">
        <f>IF(N82="","",N82-J82)</f>
      </c>
      <c r="P82" s="11">
        <f>IF(OR(M82="",M82&lt;=0),"자본잠식",ROUND(L82/M82*100,1))</f>
      </c>
      <c r="Q82" s="11">
        <f>IF(OR(M82="",M82&lt;=0),"—",ROUND(O82/M82*100,1))</f>
      </c>
    </row>
    <row r="83">
      <c r="A83" s="11" t="str">
        <f>IF(종목!A18="","",종목!A18)</f>
      </c>
      <c r="B83" s="11" t="str">
        <f>IF(종목!A18="","",종목!B18)</f>
      </c>
      <c r="C83" s="11">
        <f>IF(종목!A18="","",게임설정!$B$9)</f>
      </c>
      <c r="D83" s="7"/>
      <c r="E83" s="7"/>
      <c r="F83" s="7"/>
      <c r="G83" s="7"/>
      <c r="H83" s="7"/>
      <c r="I83" s="7"/>
      <c r="J83" s="7"/>
      <c r="K83" s="11">
        <f>IF(D83="","",D83+E83)</f>
      </c>
      <c r="L83" s="11">
        <f>IF(F83="","",F83+G83)</f>
      </c>
      <c r="M83" s="11">
        <f>IF(K83="","",K83-L83)</f>
      </c>
      <c r="N83" s="11">
        <f>IF(H83="","",H83-I83)</f>
      </c>
      <c r="O83" s="11">
        <f>IF(N83="","",N83-J83)</f>
      </c>
      <c r="P83" s="11">
        <f>IF(OR(M83="",M83&lt;=0),"자본잠식",ROUND(L83/M83*100,1))</f>
      </c>
      <c r="Q83" s="11">
        <f>IF(OR(M83="",M83&lt;=0),"—",ROUND(O83/M83*100,1))</f>
      </c>
    </row>
    <row r="84">
      <c r="A84" s="11" t="str">
        <f>IF(종목!A18="","",종목!A18)</f>
      </c>
      <c r="B84" s="11" t="str">
        <f>IF(종목!A18="","",종목!B18)</f>
      </c>
      <c r="C84" s="11">
        <f>IF(종목!A18="","",게임설정!$B$10)</f>
      </c>
      <c r="D84" s="7"/>
      <c r="E84" s="7"/>
      <c r="F84" s="7"/>
      <c r="G84" s="7"/>
      <c r="H84" s="7"/>
      <c r="I84" s="7"/>
      <c r="J84" s="7"/>
      <c r="K84" s="11">
        <f>IF(D84="","",D84+E84)</f>
      </c>
      <c r="L84" s="11">
        <f>IF(F84="","",F84+G84)</f>
      </c>
      <c r="M84" s="11">
        <f>IF(K84="","",K84-L84)</f>
      </c>
      <c r="N84" s="11">
        <f>IF(H84="","",H84-I84)</f>
      </c>
      <c r="O84" s="11">
        <f>IF(N84="","",N84-J84)</f>
      </c>
      <c r="P84" s="11">
        <f>IF(OR(M84="",M84&lt;=0),"자본잠식",ROUND(L84/M84*100,1))</f>
      </c>
      <c r="Q84" s="11">
        <f>IF(OR(M84="",M84&lt;=0),"—",ROUND(O84/M84*100,1))</f>
      </c>
    </row>
    <row r="85">
      <c r="A85" s="11" t="str">
        <f>IF(종목!A18="","",종목!A18)</f>
      </c>
      <c r="B85" s="11" t="str">
        <f>IF(종목!A18="","",종목!B18)</f>
      </c>
      <c r="C85" s="11">
        <f>IF(종목!A18="","",게임설정!$B$11)</f>
      </c>
      <c r="D85" s="7"/>
      <c r="E85" s="7"/>
      <c r="F85" s="7"/>
      <c r="G85" s="7"/>
      <c r="H85" s="7"/>
      <c r="I85" s="7"/>
      <c r="J85" s="7"/>
      <c r="K85" s="11">
        <f>IF(D85="","",D85+E85)</f>
      </c>
      <c r="L85" s="11">
        <f>IF(F85="","",F85+G85)</f>
      </c>
      <c r="M85" s="11">
        <f>IF(K85="","",K85-L85)</f>
      </c>
      <c r="N85" s="11">
        <f>IF(H85="","",H85-I85)</f>
      </c>
      <c r="O85" s="11">
        <f>IF(N85="","",N85-J85)</f>
      </c>
      <c r="P85" s="11">
        <f>IF(OR(M85="",M85&lt;=0),"자본잠식",ROUND(L85/M85*100,1))</f>
      </c>
      <c r="Q85" s="11">
        <f>IF(OR(M85="",M85&lt;=0),"—",ROUND(O85/M85*100,1))</f>
      </c>
    </row>
    <row r="86">
      <c r="A86" s="11" t="str">
        <f>IF(종목!A18="","",종목!A18)</f>
      </c>
      <c r="B86" s="11" t="str">
        <f>IF(종목!A18="","",종목!B18)</f>
      </c>
      <c r="C86" s="11">
        <f>IF(종목!A18="","",게임설정!$B$12)</f>
      </c>
      <c r="D86" s="7"/>
      <c r="E86" s="7"/>
      <c r="F86" s="7"/>
      <c r="G86" s="7"/>
      <c r="H86" s="7"/>
      <c r="I86" s="7"/>
      <c r="J86" s="7"/>
      <c r="K86" s="11">
        <f>IF(D86="","",D86+E86)</f>
      </c>
      <c r="L86" s="11">
        <f>IF(F86="","",F86+G86)</f>
      </c>
      <c r="M86" s="11">
        <f>IF(K86="","",K86-L86)</f>
      </c>
      <c r="N86" s="11">
        <f>IF(H86="","",H86-I86)</f>
      </c>
      <c r="O86" s="11">
        <f>IF(N86="","",N86-J86)</f>
      </c>
      <c r="P86" s="11">
        <f>IF(OR(M86="",M86&lt;=0),"자본잠식",ROUND(L86/M86*100,1))</f>
      </c>
      <c r="Q86" s="11">
        <f>IF(OR(M86="",M86&lt;=0),"—",ROUND(O86/M86*100,1))</f>
      </c>
    </row>
    <row r="87">
      <c r="A87" s="11" t="str">
        <f>IF(종목!A18="","",종목!A18)</f>
      </c>
      <c r="B87" s="11" t="str">
        <f>IF(종목!A18="","",종목!B18)</f>
      </c>
      <c r="C87" s="11">
        <f>IF(종목!A18="","",게임설정!$B$13)</f>
      </c>
      <c r="D87" s="7"/>
      <c r="E87" s="7"/>
      <c r="F87" s="7"/>
      <c r="G87" s="7"/>
      <c r="H87" s="7"/>
      <c r="I87" s="7"/>
      <c r="J87" s="7"/>
      <c r="K87" s="11">
        <f>IF(D87="","",D87+E87)</f>
      </c>
      <c r="L87" s="11">
        <f>IF(F87="","",F87+G87)</f>
      </c>
      <c r="M87" s="11">
        <f>IF(K87="","",K87-L87)</f>
      </c>
      <c r="N87" s="11">
        <f>IF(H87="","",H87-I87)</f>
      </c>
      <c r="O87" s="11">
        <f>IF(N87="","",N87-J87)</f>
      </c>
      <c r="P87" s="11">
        <f>IF(OR(M87="",M87&lt;=0),"자본잠식",ROUND(L87/M87*100,1))</f>
      </c>
      <c r="Q87" s="11">
        <f>IF(OR(M87="",M87&lt;=0),"—",ROUND(O87/M87*100,1))</f>
      </c>
    </row>
    <row r="88">
      <c r="A88" s="11" t="str">
        <f>IF(종목!A18="","",종목!A18)</f>
      </c>
      <c r="B88" s="11" t="str">
        <f>IF(종목!A18="","",종목!B18)</f>
      </c>
      <c r="C88" s="11">
        <f>IF(종목!A18="","",게임설정!$B$8)</f>
      </c>
      <c r="D88" s="7"/>
      <c r="E88" s="7"/>
      <c r="F88" s="7"/>
      <c r="G88" s="7"/>
      <c r="H88" s="7"/>
      <c r="I88" s="7"/>
      <c r="J88" s="7"/>
      <c r="K88" s="11">
        <f>IF(D88="","",D88+E88)</f>
      </c>
      <c r="L88" s="11">
        <f>IF(F88="","",F88+G88)</f>
      </c>
      <c r="M88" s="11">
        <f>IF(K88="","",K88-L88)</f>
      </c>
      <c r="N88" s="11">
        <f>IF(H88="","",H88-I88)</f>
      </c>
      <c r="O88" s="11">
        <f>IF(N88="","",N88-J88)</f>
      </c>
      <c r="P88" s="11">
        <f>IF(OR(M88="",M88&lt;=0),"자본잠식",ROUND(L88/M88*100,1))</f>
      </c>
      <c r="Q88" s="11">
        <f>IF(OR(M88="",M88&lt;=0),"—",ROUND(O88/M88*100,1))</f>
      </c>
    </row>
    <row r="89">
      <c r="A89" s="11" t="str">
        <f>IF(종목!A19="","",종목!A19)</f>
      </c>
      <c r="B89" s="11" t="str">
        <f>IF(종목!A19="","",종목!B19)</f>
      </c>
      <c r="C89" s="11">
        <f>IF(종목!A19="","",게임설정!$B$9)</f>
      </c>
      <c r="D89" s="7"/>
      <c r="E89" s="7"/>
      <c r="F89" s="7"/>
      <c r="G89" s="7"/>
      <c r="H89" s="7"/>
      <c r="I89" s="7"/>
      <c r="J89" s="7"/>
      <c r="K89" s="11">
        <f>IF(D89="","",D89+E89)</f>
      </c>
      <c r="L89" s="11">
        <f>IF(F89="","",F89+G89)</f>
      </c>
      <c r="M89" s="11">
        <f>IF(K89="","",K89-L89)</f>
      </c>
      <c r="N89" s="11">
        <f>IF(H89="","",H89-I89)</f>
      </c>
      <c r="O89" s="11">
        <f>IF(N89="","",N89-J89)</f>
      </c>
      <c r="P89" s="11">
        <f>IF(OR(M89="",M89&lt;=0),"자본잠식",ROUND(L89/M89*100,1))</f>
      </c>
      <c r="Q89" s="11">
        <f>IF(OR(M89="",M89&lt;=0),"—",ROUND(O89/M89*100,1))</f>
      </c>
    </row>
    <row r="90">
      <c r="A90" s="11" t="str">
        <f>IF(종목!A19="","",종목!A19)</f>
      </c>
      <c r="B90" s="11" t="str">
        <f>IF(종목!A19="","",종목!B19)</f>
      </c>
      <c r="C90" s="11">
        <f>IF(종목!A19="","",게임설정!$B$10)</f>
      </c>
      <c r="D90" s="7"/>
      <c r="E90" s="7"/>
      <c r="F90" s="7"/>
      <c r="G90" s="7"/>
      <c r="H90" s="7"/>
      <c r="I90" s="7"/>
      <c r="J90" s="7"/>
      <c r="K90" s="11">
        <f>IF(D90="","",D90+E90)</f>
      </c>
      <c r="L90" s="11">
        <f>IF(F90="","",F90+G90)</f>
      </c>
      <c r="M90" s="11">
        <f>IF(K90="","",K90-L90)</f>
      </c>
      <c r="N90" s="11">
        <f>IF(H90="","",H90-I90)</f>
      </c>
      <c r="O90" s="11">
        <f>IF(N90="","",N90-J90)</f>
      </c>
      <c r="P90" s="11">
        <f>IF(OR(M90="",M90&lt;=0),"자본잠식",ROUND(L90/M90*100,1))</f>
      </c>
      <c r="Q90" s="11">
        <f>IF(OR(M90="",M90&lt;=0),"—",ROUND(O90/M90*100,1))</f>
      </c>
    </row>
    <row r="91">
      <c r="A91" s="11" t="str">
        <f>IF(종목!A19="","",종목!A19)</f>
      </c>
      <c r="B91" s="11" t="str">
        <f>IF(종목!A19="","",종목!B19)</f>
      </c>
      <c r="C91" s="11">
        <f>IF(종목!A19="","",게임설정!$B$11)</f>
      </c>
      <c r="D91" s="7"/>
      <c r="E91" s="7"/>
      <c r="F91" s="7"/>
      <c r="G91" s="7"/>
      <c r="H91" s="7"/>
      <c r="I91" s="7"/>
      <c r="J91" s="7"/>
      <c r="K91" s="11">
        <f>IF(D91="","",D91+E91)</f>
      </c>
      <c r="L91" s="11">
        <f>IF(F91="","",F91+G91)</f>
      </c>
      <c r="M91" s="11">
        <f>IF(K91="","",K91-L91)</f>
      </c>
      <c r="N91" s="11">
        <f>IF(H91="","",H91-I91)</f>
      </c>
      <c r="O91" s="11">
        <f>IF(N91="","",N91-J91)</f>
      </c>
      <c r="P91" s="11">
        <f>IF(OR(M91="",M91&lt;=0),"자본잠식",ROUND(L91/M91*100,1))</f>
      </c>
      <c r="Q91" s="11">
        <f>IF(OR(M91="",M91&lt;=0),"—",ROUND(O91/M91*100,1))</f>
      </c>
    </row>
    <row r="92">
      <c r="A92" s="11" t="str">
        <f>IF(종목!A19="","",종목!A19)</f>
      </c>
      <c r="B92" s="11" t="str">
        <f>IF(종목!A19="","",종목!B19)</f>
      </c>
      <c r="C92" s="11">
        <f>IF(종목!A19="","",게임설정!$B$12)</f>
      </c>
      <c r="D92" s="7"/>
      <c r="E92" s="7"/>
      <c r="F92" s="7"/>
      <c r="G92" s="7"/>
      <c r="H92" s="7"/>
      <c r="I92" s="7"/>
      <c r="J92" s="7"/>
      <c r="K92" s="11">
        <f>IF(D92="","",D92+E92)</f>
      </c>
      <c r="L92" s="11">
        <f>IF(F92="","",F92+G92)</f>
      </c>
      <c r="M92" s="11">
        <f>IF(K92="","",K92-L92)</f>
      </c>
      <c r="N92" s="11">
        <f>IF(H92="","",H92-I92)</f>
      </c>
      <c r="O92" s="11">
        <f>IF(N92="","",N92-J92)</f>
      </c>
      <c r="P92" s="11">
        <f>IF(OR(M92="",M92&lt;=0),"자본잠식",ROUND(L92/M92*100,1))</f>
      </c>
      <c r="Q92" s="11">
        <f>IF(OR(M92="",M92&lt;=0),"—",ROUND(O92/M92*100,1))</f>
      </c>
    </row>
    <row r="93">
      <c r="A93" s="11" t="str">
        <f>IF(종목!A19="","",종목!A19)</f>
      </c>
      <c r="B93" s="11" t="str">
        <f>IF(종목!A19="","",종목!B19)</f>
      </c>
      <c r="C93" s="11">
        <f>IF(종목!A19="","",게임설정!$B$13)</f>
      </c>
      <c r="D93" s="7"/>
      <c r="E93" s="7"/>
      <c r="F93" s="7"/>
      <c r="G93" s="7"/>
      <c r="H93" s="7"/>
      <c r="I93" s="7"/>
      <c r="J93" s="7"/>
      <c r="K93" s="11">
        <f>IF(D93="","",D93+E93)</f>
      </c>
      <c r="L93" s="11">
        <f>IF(F93="","",F93+G93)</f>
      </c>
      <c r="M93" s="11">
        <f>IF(K93="","",K93-L93)</f>
      </c>
      <c r="N93" s="11">
        <f>IF(H93="","",H93-I93)</f>
      </c>
      <c r="O93" s="11">
        <f>IF(N93="","",N93-J93)</f>
      </c>
      <c r="P93" s="11">
        <f>IF(OR(M93="",M93&lt;=0),"자본잠식",ROUND(L93/M93*100,1))</f>
      </c>
      <c r="Q93" s="11">
        <f>IF(OR(M93="",M93&lt;=0),"—",ROUND(O93/M93*100,1))</f>
      </c>
    </row>
    <row r="94">
      <c r="A94" s="11" t="str">
        <f>IF(종목!A19="","",종목!A19)</f>
      </c>
      <c r="B94" s="11" t="str">
        <f>IF(종목!A19="","",종목!B19)</f>
      </c>
      <c r="C94" s="11">
        <f>IF(종목!A19="","",게임설정!$B$8)</f>
      </c>
      <c r="D94" s="7"/>
      <c r="E94" s="7"/>
      <c r="F94" s="7"/>
      <c r="G94" s="7"/>
      <c r="H94" s="7"/>
      <c r="I94" s="7"/>
      <c r="J94" s="7"/>
      <c r="K94" s="11">
        <f>IF(D94="","",D94+E94)</f>
      </c>
      <c r="L94" s="11">
        <f>IF(F94="","",F94+G94)</f>
      </c>
      <c r="M94" s="11">
        <f>IF(K94="","",K94-L94)</f>
      </c>
      <c r="N94" s="11">
        <f>IF(H94="","",H94-I94)</f>
      </c>
      <c r="O94" s="11">
        <f>IF(N94="","",N94-J94)</f>
      </c>
      <c r="P94" s="11">
        <f>IF(OR(M94="",M94&lt;=0),"자본잠식",ROUND(L94/M94*100,1))</f>
      </c>
      <c r="Q94" s="11">
        <f>IF(OR(M94="",M94&lt;=0),"—",ROUND(O94/M94*100,1))</f>
      </c>
    </row>
    <row r="95">
      <c r="A95" s="11" t="str">
        <f>IF(종목!A20="","",종목!A20)</f>
      </c>
      <c r="B95" s="11" t="str">
        <f>IF(종목!A20="","",종목!B20)</f>
      </c>
      <c r="C95" s="11">
        <f>IF(종목!A20="","",게임설정!$B$9)</f>
      </c>
      <c r="D95" s="7"/>
      <c r="E95" s="7"/>
      <c r="F95" s="7"/>
      <c r="G95" s="7"/>
      <c r="H95" s="7"/>
      <c r="I95" s="7"/>
      <c r="J95" s="7"/>
      <c r="K95" s="11">
        <f>IF(D95="","",D95+E95)</f>
      </c>
      <c r="L95" s="11">
        <f>IF(F95="","",F95+G95)</f>
      </c>
      <c r="M95" s="11">
        <f>IF(K95="","",K95-L95)</f>
      </c>
      <c r="N95" s="11">
        <f>IF(H95="","",H95-I95)</f>
      </c>
      <c r="O95" s="11">
        <f>IF(N95="","",N95-J95)</f>
      </c>
      <c r="P95" s="11">
        <f>IF(OR(M95="",M95&lt;=0),"자본잠식",ROUND(L95/M95*100,1))</f>
      </c>
      <c r="Q95" s="11">
        <f>IF(OR(M95="",M95&lt;=0),"—",ROUND(O95/M95*100,1))</f>
      </c>
    </row>
    <row r="96">
      <c r="A96" s="11" t="str">
        <f>IF(종목!A20="","",종목!A20)</f>
      </c>
      <c r="B96" s="11" t="str">
        <f>IF(종목!A20="","",종목!B20)</f>
      </c>
      <c r="C96" s="11">
        <f>IF(종목!A20="","",게임설정!$B$10)</f>
      </c>
      <c r="D96" s="7"/>
      <c r="E96" s="7"/>
      <c r="F96" s="7"/>
      <c r="G96" s="7"/>
      <c r="H96" s="7"/>
      <c r="I96" s="7"/>
      <c r="J96" s="7"/>
      <c r="K96" s="11">
        <f>IF(D96="","",D96+E96)</f>
      </c>
      <c r="L96" s="11">
        <f>IF(F96="","",F96+G96)</f>
      </c>
      <c r="M96" s="11">
        <f>IF(K96="","",K96-L96)</f>
      </c>
      <c r="N96" s="11">
        <f>IF(H96="","",H96-I96)</f>
      </c>
      <c r="O96" s="11">
        <f>IF(N96="","",N96-J96)</f>
      </c>
      <c r="P96" s="11">
        <f>IF(OR(M96="",M96&lt;=0),"자본잠식",ROUND(L96/M96*100,1))</f>
      </c>
      <c r="Q96" s="11">
        <f>IF(OR(M96="",M96&lt;=0),"—",ROUND(O96/M96*100,1))</f>
      </c>
    </row>
    <row r="97">
      <c r="A97" s="11" t="str">
        <f>IF(종목!A20="","",종목!A20)</f>
      </c>
      <c r="B97" s="11" t="str">
        <f>IF(종목!A20="","",종목!B20)</f>
      </c>
      <c r="C97" s="11">
        <f>IF(종목!A20="","",게임설정!$B$11)</f>
      </c>
      <c r="D97" s="7"/>
      <c r="E97" s="7"/>
      <c r="F97" s="7"/>
      <c r="G97" s="7"/>
      <c r="H97" s="7"/>
      <c r="I97" s="7"/>
      <c r="J97" s="7"/>
      <c r="K97" s="11">
        <f>IF(D97="","",D97+E97)</f>
      </c>
      <c r="L97" s="11">
        <f>IF(F97="","",F97+G97)</f>
      </c>
      <c r="M97" s="11">
        <f>IF(K97="","",K97-L97)</f>
      </c>
      <c r="N97" s="11">
        <f>IF(H97="","",H97-I97)</f>
      </c>
      <c r="O97" s="11">
        <f>IF(N97="","",N97-J97)</f>
      </c>
      <c r="P97" s="11">
        <f>IF(OR(M97="",M97&lt;=0),"자본잠식",ROUND(L97/M97*100,1))</f>
      </c>
      <c r="Q97" s="11">
        <f>IF(OR(M97="",M97&lt;=0),"—",ROUND(O97/M97*100,1))</f>
      </c>
    </row>
    <row r="98">
      <c r="A98" s="11" t="str">
        <f>IF(종목!A20="","",종목!A20)</f>
      </c>
      <c r="B98" s="11" t="str">
        <f>IF(종목!A20="","",종목!B20)</f>
      </c>
      <c r="C98" s="11">
        <f>IF(종목!A20="","",게임설정!$B$12)</f>
      </c>
      <c r="D98" s="7"/>
      <c r="E98" s="7"/>
      <c r="F98" s="7"/>
      <c r="G98" s="7"/>
      <c r="H98" s="7"/>
      <c r="I98" s="7"/>
      <c r="J98" s="7"/>
      <c r="K98" s="11">
        <f>IF(D98="","",D98+E98)</f>
      </c>
      <c r="L98" s="11">
        <f>IF(F98="","",F98+G98)</f>
      </c>
      <c r="M98" s="11">
        <f>IF(K98="","",K98-L98)</f>
      </c>
      <c r="N98" s="11">
        <f>IF(H98="","",H98-I98)</f>
      </c>
      <c r="O98" s="11">
        <f>IF(N98="","",N98-J98)</f>
      </c>
      <c r="P98" s="11">
        <f>IF(OR(M98="",M98&lt;=0),"자본잠식",ROUND(L98/M98*100,1))</f>
      </c>
      <c r="Q98" s="11">
        <f>IF(OR(M98="",M98&lt;=0),"—",ROUND(O98/M98*100,1))</f>
      </c>
    </row>
    <row r="99">
      <c r="A99" s="11" t="str">
        <f>IF(종목!A20="","",종목!A20)</f>
      </c>
      <c r="B99" s="11" t="str">
        <f>IF(종목!A20="","",종목!B20)</f>
      </c>
      <c r="C99" s="11">
        <f>IF(종목!A20="","",게임설정!$B$13)</f>
      </c>
      <c r="D99" s="7"/>
      <c r="E99" s="7"/>
      <c r="F99" s="7"/>
      <c r="G99" s="7"/>
      <c r="H99" s="7"/>
      <c r="I99" s="7"/>
      <c r="J99" s="7"/>
      <c r="K99" s="11">
        <f>IF(D99="","",D99+E99)</f>
      </c>
      <c r="L99" s="11">
        <f>IF(F99="","",F99+G99)</f>
      </c>
      <c r="M99" s="11">
        <f>IF(K99="","",K99-L99)</f>
      </c>
      <c r="N99" s="11">
        <f>IF(H99="","",H99-I99)</f>
      </c>
      <c r="O99" s="11">
        <f>IF(N99="","",N99-J99)</f>
      </c>
      <c r="P99" s="11">
        <f>IF(OR(M99="",M99&lt;=0),"자본잠식",ROUND(L99/M99*100,1))</f>
      </c>
      <c r="Q99" s="11">
        <f>IF(OR(M99="",M99&lt;=0),"—",ROUND(O99/M99*100,1))</f>
      </c>
    </row>
    <row r="100">
      <c r="A100" s="11" t="str">
        <f>IF(종목!A20="","",종목!A20)</f>
      </c>
      <c r="B100" s="11" t="str">
        <f>IF(종목!A20="","",종목!B20)</f>
      </c>
      <c r="C100" s="11">
        <f>IF(종목!A20="","",게임설정!$B$8)</f>
      </c>
      <c r="D100" s="7"/>
      <c r="E100" s="7"/>
      <c r="F100" s="7"/>
      <c r="G100" s="7"/>
      <c r="H100" s="7"/>
      <c r="I100" s="7"/>
      <c r="J100" s="7"/>
      <c r="K100" s="11">
        <f>IF(D100="","",D100+E100)</f>
      </c>
      <c r="L100" s="11">
        <f>IF(F100="","",F100+G100)</f>
      </c>
      <c r="M100" s="11">
        <f>IF(K100="","",K100-L100)</f>
      </c>
      <c r="N100" s="11">
        <f>IF(H100="","",H100-I100)</f>
      </c>
      <c r="O100" s="11">
        <f>IF(N100="","",N100-J100)</f>
      </c>
      <c r="P100" s="11">
        <f>IF(OR(M100="",M100&lt;=0),"자본잠식",ROUND(L100/M100*100,1))</f>
      </c>
      <c r="Q100" s="11">
        <f>IF(OR(M100="",M100&lt;=0),"—",ROUND(O100/M100*100,1))</f>
      </c>
    </row>
    <row r="101">
      <c r="A101" s="11" t="str">
        <f>IF(종목!A21="","",종목!A21)</f>
      </c>
      <c r="B101" s="11" t="str">
        <f>IF(종목!A21="","",종목!B21)</f>
      </c>
      <c r="C101" s="11">
        <f>IF(종목!A21="","",게임설정!$B$9)</f>
      </c>
      <c r="D101" s="7"/>
      <c r="E101" s="7"/>
      <c r="F101" s="7"/>
      <c r="G101" s="7"/>
      <c r="H101" s="7"/>
      <c r="I101" s="7"/>
      <c r="J101" s="7"/>
      <c r="K101" s="11">
        <f>IF(D101="","",D101+E101)</f>
      </c>
      <c r="L101" s="11">
        <f>IF(F101="","",F101+G101)</f>
      </c>
      <c r="M101" s="11">
        <f>IF(K101="","",K101-L101)</f>
      </c>
      <c r="N101" s="11">
        <f>IF(H101="","",H101-I101)</f>
      </c>
      <c r="O101" s="11">
        <f>IF(N101="","",N101-J101)</f>
      </c>
      <c r="P101" s="11">
        <f>IF(OR(M101="",M101&lt;=0),"자본잠식",ROUND(L101/M101*100,1))</f>
      </c>
      <c r="Q101" s="11">
        <f>IF(OR(M101="",M101&lt;=0),"—",ROUND(O101/M101*100,1))</f>
      </c>
    </row>
    <row r="102">
      <c r="A102" s="11" t="str">
        <f>IF(종목!A21="","",종목!A21)</f>
      </c>
      <c r="B102" s="11" t="str">
        <f>IF(종목!A21="","",종목!B21)</f>
      </c>
      <c r="C102" s="11">
        <f>IF(종목!A21="","",게임설정!$B$10)</f>
      </c>
      <c r="D102" s="7"/>
      <c r="E102" s="7"/>
      <c r="F102" s="7"/>
      <c r="G102" s="7"/>
      <c r="H102" s="7"/>
      <c r="I102" s="7"/>
      <c r="J102" s="7"/>
      <c r="K102" s="11">
        <f>IF(D102="","",D102+E102)</f>
      </c>
      <c r="L102" s="11">
        <f>IF(F102="","",F102+G102)</f>
      </c>
      <c r="M102" s="11">
        <f>IF(K102="","",K102-L102)</f>
      </c>
      <c r="N102" s="11">
        <f>IF(H102="","",H102-I102)</f>
      </c>
      <c r="O102" s="11">
        <f>IF(N102="","",N102-J102)</f>
      </c>
      <c r="P102" s="11">
        <f>IF(OR(M102="",M102&lt;=0),"자본잠식",ROUND(L102/M102*100,1))</f>
      </c>
      <c r="Q102" s="11">
        <f>IF(OR(M102="",M102&lt;=0),"—",ROUND(O102/M102*100,1))</f>
      </c>
    </row>
    <row r="103">
      <c r="A103" s="11" t="str">
        <f>IF(종목!A21="","",종목!A21)</f>
      </c>
      <c r="B103" s="11" t="str">
        <f>IF(종목!A21="","",종목!B21)</f>
      </c>
      <c r="C103" s="11">
        <f>IF(종목!A21="","",게임설정!$B$11)</f>
      </c>
      <c r="D103" s="7"/>
      <c r="E103" s="7"/>
      <c r="F103" s="7"/>
      <c r="G103" s="7"/>
      <c r="H103" s="7"/>
      <c r="I103" s="7"/>
      <c r="J103" s="7"/>
      <c r="K103" s="11">
        <f>IF(D103="","",D103+E103)</f>
      </c>
      <c r="L103" s="11">
        <f>IF(F103="","",F103+G103)</f>
      </c>
      <c r="M103" s="11">
        <f>IF(K103="","",K103-L103)</f>
      </c>
      <c r="N103" s="11">
        <f>IF(H103="","",H103-I103)</f>
      </c>
      <c r="O103" s="11">
        <f>IF(N103="","",N103-J103)</f>
      </c>
      <c r="P103" s="11">
        <f>IF(OR(M103="",M103&lt;=0),"자본잠식",ROUND(L103/M103*100,1))</f>
      </c>
      <c r="Q103" s="11">
        <f>IF(OR(M103="",M103&lt;=0),"—",ROUND(O103/M103*100,1))</f>
      </c>
    </row>
    <row r="104">
      <c r="A104" s="11" t="str">
        <f>IF(종목!A21="","",종목!A21)</f>
      </c>
      <c r="B104" s="11" t="str">
        <f>IF(종목!A21="","",종목!B21)</f>
      </c>
      <c r="C104" s="11">
        <f>IF(종목!A21="","",게임설정!$B$12)</f>
      </c>
      <c r="D104" s="7"/>
      <c r="E104" s="7"/>
      <c r="F104" s="7"/>
      <c r="G104" s="7"/>
      <c r="H104" s="7"/>
      <c r="I104" s="7"/>
      <c r="J104" s="7"/>
      <c r="K104" s="11">
        <f>IF(D104="","",D104+E104)</f>
      </c>
      <c r="L104" s="11">
        <f>IF(F104="","",F104+G104)</f>
      </c>
      <c r="M104" s="11">
        <f>IF(K104="","",K104-L104)</f>
      </c>
      <c r="N104" s="11">
        <f>IF(H104="","",H104-I104)</f>
      </c>
      <c r="O104" s="11">
        <f>IF(N104="","",N104-J104)</f>
      </c>
      <c r="P104" s="11">
        <f>IF(OR(M104="",M104&lt;=0),"자본잠식",ROUND(L104/M104*100,1))</f>
      </c>
      <c r="Q104" s="11">
        <f>IF(OR(M104="",M104&lt;=0),"—",ROUND(O104/M104*100,1))</f>
      </c>
    </row>
    <row r="105">
      <c r="A105" s="11" t="str">
        <f>IF(종목!A21="","",종목!A21)</f>
      </c>
      <c r="B105" s="11" t="str">
        <f>IF(종목!A21="","",종목!B21)</f>
      </c>
      <c r="C105" s="11">
        <f>IF(종목!A21="","",게임설정!$B$13)</f>
      </c>
      <c r="D105" s="7"/>
      <c r="E105" s="7"/>
      <c r="F105" s="7"/>
      <c r="G105" s="7"/>
      <c r="H105" s="7"/>
      <c r="I105" s="7"/>
      <c r="J105" s="7"/>
      <c r="K105" s="11">
        <f>IF(D105="","",D105+E105)</f>
      </c>
      <c r="L105" s="11">
        <f>IF(F105="","",F105+G105)</f>
      </c>
      <c r="M105" s="11">
        <f>IF(K105="","",K105-L105)</f>
      </c>
      <c r="N105" s="11">
        <f>IF(H105="","",H105-I105)</f>
      </c>
      <c r="O105" s="11">
        <f>IF(N105="","",N105-J105)</f>
      </c>
      <c r="P105" s="11">
        <f>IF(OR(M105="",M105&lt;=0),"자본잠식",ROUND(L105/M105*100,1))</f>
      </c>
      <c r="Q105" s="11">
        <f>IF(OR(M105="",M105&lt;=0),"—",ROUND(O105/M105*100,1))</f>
      </c>
    </row>
    <row r="106">
      <c r="A106" s="11" t="str">
        <f>IF(종목!A21="","",종목!A21)</f>
      </c>
      <c r="B106" s="11" t="str">
        <f>IF(종목!A21="","",종목!B21)</f>
      </c>
      <c r="C106" s="11">
        <f>IF(종목!A21="","",게임설정!$B$8)</f>
      </c>
      <c r="D106" s="7"/>
      <c r="E106" s="7"/>
      <c r="F106" s="7"/>
      <c r="G106" s="7"/>
      <c r="H106" s="7"/>
      <c r="I106" s="7"/>
      <c r="J106" s="7"/>
      <c r="K106" s="11">
        <f>IF(D106="","",D106+E106)</f>
      </c>
      <c r="L106" s="11">
        <f>IF(F106="","",F106+G106)</f>
      </c>
      <c r="M106" s="11">
        <f>IF(K106="","",K106-L106)</f>
      </c>
      <c r="N106" s="11">
        <f>IF(H106="","",H106-I106)</f>
      </c>
      <c r="O106" s="11">
        <f>IF(N106="","",N106-J106)</f>
      </c>
      <c r="P106" s="11">
        <f>IF(OR(M106="",M106&lt;=0),"자본잠식",ROUND(L106/M106*100,1))</f>
      </c>
      <c r="Q106" s="11">
        <f>IF(OR(M106="",M106&lt;=0),"—",ROUND(O106/M106*100,1))</f>
      </c>
    </row>
    <row r="107">
      <c r="A107" s="11" t="str">
        <f>IF(종목!A22="","",종목!A22)</f>
      </c>
      <c r="B107" s="11" t="str">
        <f>IF(종목!A22="","",종목!B22)</f>
      </c>
      <c r="C107" s="11">
        <f>IF(종목!A22="","",게임설정!$B$9)</f>
      </c>
      <c r="D107" s="7"/>
      <c r="E107" s="7"/>
      <c r="F107" s="7"/>
      <c r="G107" s="7"/>
      <c r="H107" s="7"/>
      <c r="I107" s="7"/>
      <c r="J107" s="7"/>
      <c r="K107" s="11">
        <f>IF(D107="","",D107+E107)</f>
      </c>
      <c r="L107" s="11">
        <f>IF(F107="","",F107+G107)</f>
      </c>
      <c r="M107" s="11">
        <f>IF(K107="","",K107-L107)</f>
      </c>
      <c r="N107" s="11">
        <f>IF(H107="","",H107-I107)</f>
      </c>
      <c r="O107" s="11">
        <f>IF(N107="","",N107-J107)</f>
      </c>
      <c r="P107" s="11">
        <f>IF(OR(M107="",M107&lt;=0),"자본잠식",ROUND(L107/M107*100,1))</f>
      </c>
      <c r="Q107" s="11">
        <f>IF(OR(M107="",M107&lt;=0),"—",ROUND(O107/M107*100,1))</f>
      </c>
    </row>
    <row r="108">
      <c r="A108" s="11" t="str">
        <f>IF(종목!A22="","",종목!A22)</f>
      </c>
      <c r="B108" s="11" t="str">
        <f>IF(종목!A22="","",종목!B22)</f>
      </c>
      <c r="C108" s="11">
        <f>IF(종목!A22="","",게임설정!$B$10)</f>
      </c>
      <c r="D108" s="7"/>
      <c r="E108" s="7"/>
      <c r="F108" s="7"/>
      <c r="G108" s="7"/>
      <c r="H108" s="7"/>
      <c r="I108" s="7"/>
      <c r="J108" s="7"/>
      <c r="K108" s="11">
        <f>IF(D108="","",D108+E108)</f>
      </c>
      <c r="L108" s="11">
        <f>IF(F108="","",F108+G108)</f>
      </c>
      <c r="M108" s="11">
        <f>IF(K108="","",K108-L108)</f>
      </c>
      <c r="N108" s="11">
        <f>IF(H108="","",H108-I108)</f>
      </c>
      <c r="O108" s="11">
        <f>IF(N108="","",N108-J108)</f>
      </c>
      <c r="P108" s="11">
        <f>IF(OR(M108="",M108&lt;=0),"자본잠식",ROUND(L108/M108*100,1))</f>
      </c>
      <c r="Q108" s="11">
        <f>IF(OR(M108="",M108&lt;=0),"—",ROUND(O108/M108*100,1))</f>
      </c>
    </row>
    <row r="109">
      <c r="A109" s="11" t="str">
        <f>IF(종목!A22="","",종목!A22)</f>
      </c>
      <c r="B109" s="11" t="str">
        <f>IF(종목!A22="","",종목!B22)</f>
      </c>
      <c r="C109" s="11">
        <f>IF(종목!A22="","",게임설정!$B$11)</f>
      </c>
      <c r="D109" s="7"/>
      <c r="E109" s="7"/>
      <c r="F109" s="7"/>
      <c r="G109" s="7"/>
      <c r="H109" s="7"/>
      <c r="I109" s="7"/>
      <c r="J109" s="7"/>
      <c r="K109" s="11">
        <f>IF(D109="","",D109+E109)</f>
      </c>
      <c r="L109" s="11">
        <f>IF(F109="","",F109+G109)</f>
      </c>
      <c r="M109" s="11">
        <f>IF(K109="","",K109-L109)</f>
      </c>
      <c r="N109" s="11">
        <f>IF(H109="","",H109-I109)</f>
      </c>
      <c r="O109" s="11">
        <f>IF(N109="","",N109-J109)</f>
      </c>
      <c r="P109" s="11">
        <f>IF(OR(M109="",M109&lt;=0),"자본잠식",ROUND(L109/M109*100,1))</f>
      </c>
      <c r="Q109" s="11">
        <f>IF(OR(M109="",M109&lt;=0),"—",ROUND(O109/M109*100,1))</f>
      </c>
    </row>
    <row r="110">
      <c r="A110" s="11" t="str">
        <f>IF(종목!A22="","",종목!A22)</f>
      </c>
      <c r="B110" s="11" t="str">
        <f>IF(종목!A22="","",종목!B22)</f>
      </c>
      <c r="C110" s="11">
        <f>IF(종목!A22="","",게임설정!$B$12)</f>
      </c>
      <c r="D110" s="7"/>
      <c r="E110" s="7"/>
      <c r="F110" s="7"/>
      <c r="G110" s="7"/>
      <c r="H110" s="7"/>
      <c r="I110" s="7"/>
      <c r="J110" s="7"/>
      <c r="K110" s="11">
        <f>IF(D110="","",D110+E110)</f>
      </c>
      <c r="L110" s="11">
        <f>IF(F110="","",F110+G110)</f>
      </c>
      <c r="M110" s="11">
        <f>IF(K110="","",K110-L110)</f>
      </c>
      <c r="N110" s="11">
        <f>IF(H110="","",H110-I110)</f>
      </c>
      <c r="O110" s="11">
        <f>IF(N110="","",N110-J110)</f>
      </c>
      <c r="P110" s="11">
        <f>IF(OR(M110="",M110&lt;=0),"자본잠식",ROUND(L110/M110*100,1))</f>
      </c>
      <c r="Q110" s="11">
        <f>IF(OR(M110="",M110&lt;=0),"—",ROUND(O110/M110*100,1))</f>
      </c>
    </row>
    <row r="111">
      <c r="A111" s="11" t="str">
        <f>IF(종목!A22="","",종목!A22)</f>
      </c>
      <c r="B111" s="11" t="str">
        <f>IF(종목!A22="","",종목!B22)</f>
      </c>
      <c r="C111" s="11">
        <f>IF(종목!A22="","",게임설정!$B$13)</f>
      </c>
      <c r="D111" s="7"/>
      <c r="E111" s="7"/>
      <c r="F111" s="7"/>
      <c r="G111" s="7"/>
      <c r="H111" s="7"/>
      <c r="I111" s="7"/>
      <c r="J111" s="7"/>
      <c r="K111" s="11">
        <f>IF(D111="","",D111+E111)</f>
      </c>
      <c r="L111" s="11">
        <f>IF(F111="","",F111+G111)</f>
      </c>
      <c r="M111" s="11">
        <f>IF(K111="","",K111-L111)</f>
      </c>
      <c r="N111" s="11">
        <f>IF(H111="","",H111-I111)</f>
      </c>
      <c r="O111" s="11">
        <f>IF(N111="","",N111-J111)</f>
      </c>
      <c r="P111" s="11">
        <f>IF(OR(M111="",M111&lt;=0),"자본잠식",ROUND(L111/M111*100,1))</f>
      </c>
      <c r="Q111" s="11">
        <f>IF(OR(M111="",M111&lt;=0),"—",ROUND(O111/M111*100,1))</f>
      </c>
    </row>
    <row r="112">
      <c r="A112" s="11" t="str">
        <f>IF(종목!A22="","",종목!A22)</f>
      </c>
      <c r="B112" s="11" t="str">
        <f>IF(종목!A22="","",종목!B22)</f>
      </c>
      <c r="C112" s="11">
        <f>IF(종목!A22="","",게임설정!$B$8)</f>
      </c>
      <c r="D112" s="7"/>
      <c r="E112" s="7"/>
      <c r="F112" s="7"/>
      <c r="G112" s="7"/>
      <c r="H112" s="7"/>
      <c r="I112" s="7"/>
      <c r="J112" s="7"/>
      <c r="K112" s="11">
        <f>IF(D112="","",D112+E112)</f>
      </c>
      <c r="L112" s="11">
        <f>IF(F112="","",F112+G112)</f>
      </c>
      <c r="M112" s="11">
        <f>IF(K112="","",K112-L112)</f>
      </c>
      <c r="N112" s="11">
        <f>IF(H112="","",H112-I112)</f>
      </c>
      <c r="O112" s="11">
        <f>IF(N112="","",N112-J112)</f>
      </c>
      <c r="P112" s="11">
        <f>IF(OR(M112="",M112&lt;=0),"자본잠식",ROUND(L112/M112*100,1))</f>
      </c>
      <c r="Q112" s="11">
        <f>IF(OR(M112="",M112&lt;=0),"—",ROUND(O112/M112*100,1))</f>
      </c>
    </row>
    <row r="113">
      <c r="A113" s="11" t="str">
        <f>IF(종목!A23="","",종목!A23)</f>
      </c>
      <c r="B113" s="11" t="str">
        <f>IF(종목!A23="","",종목!B23)</f>
      </c>
      <c r="C113" s="11">
        <f>IF(종목!A23="","",게임설정!$B$9)</f>
      </c>
      <c r="D113" s="7"/>
      <c r="E113" s="7"/>
      <c r="F113" s="7"/>
      <c r="G113" s="7"/>
      <c r="H113" s="7"/>
      <c r="I113" s="7"/>
      <c r="J113" s="7"/>
      <c r="K113" s="11">
        <f>IF(D113="","",D113+E113)</f>
      </c>
      <c r="L113" s="11">
        <f>IF(F113="","",F113+G113)</f>
      </c>
      <c r="M113" s="11">
        <f>IF(K113="","",K113-L113)</f>
      </c>
      <c r="N113" s="11">
        <f>IF(H113="","",H113-I113)</f>
      </c>
      <c r="O113" s="11">
        <f>IF(N113="","",N113-J113)</f>
      </c>
      <c r="P113" s="11">
        <f>IF(OR(M113="",M113&lt;=0),"자본잠식",ROUND(L113/M113*100,1))</f>
      </c>
      <c r="Q113" s="11">
        <f>IF(OR(M113="",M113&lt;=0),"—",ROUND(O113/M113*100,1))</f>
      </c>
    </row>
    <row r="114">
      <c r="A114" s="11" t="str">
        <f>IF(종목!A23="","",종목!A23)</f>
      </c>
      <c r="B114" s="11" t="str">
        <f>IF(종목!A23="","",종목!B23)</f>
      </c>
      <c r="C114" s="11">
        <f>IF(종목!A23="","",게임설정!$B$10)</f>
      </c>
      <c r="D114" s="7"/>
      <c r="E114" s="7"/>
      <c r="F114" s="7"/>
      <c r="G114" s="7"/>
      <c r="H114" s="7"/>
      <c r="I114" s="7"/>
      <c r="J114" s="7"/>
      <c r="K114" s="11">
        <f>IF(D114="","",D114+E114)</f>
      </c>
      <c r="L114" s="11">
        <f>IF(F114="","",F114+G114)</f>
      </c>
      <c r="M114" s="11">
        <f>IF(K114="","",K114-L114)</f>
      </c>
      <c r="N114" s="11">
        <f>IF(H114="","",H114-I114)</f>
      </c>
      <c r="O114" s="11">
        <f>IF(N114="","",N114-J114)</f>
      </c>
      <c r="P114" s="11">
        <f>IF(OR(M114="",M114&lt;=0),"자본잠식",ROUND(L114/M114*100,1))</f>
      </c>
      <c r="Q114" s="11">
        <f>IF(OR(M114="",M114&lt;=0),"—",ROUND(O114/M114*100,1))</f>
      </c>
    </row>
    <row r="115">
      <c r="A115" s="11" t="str">
        <f>IF(종목!A23="","",종목!A23)</f>
      </c>
      <c r="B115" s="11" t="str">
        <f>IF(종목!A23="","",종목!B23)</f>
      </c>
      <c r="C115" s="11">
        <f>IF(종목!A23="","",게임설정!$B$11)</f>
      </c>
      <c r="D115" s="7"/>
      <c r="E115" s="7"/>
      <c r="F115" s="7"/>
      <c r="G115" s="7"/>
      <c r="H115" s="7"/>
      <c r="I115" s="7"/>
      <c r="J115" s="7"/>
      <c r="K115" s="11">
        <f>IF(D115="","",D115+E115)</f>
      </c>
      <c r="L115" s="11">
        <f>IF(F115="","",F115+G115)</f>
      </c>
      <c r="M115" s="11">
        <f>IF(K115="","",K115-L115)</f>
      </c>
      <c r="N115" s="11">
        <f>IF(H115="","",H115-I115)</f>
      </c>
      <c r="O115" s="11">
        <f>IF(N115="","",N115-J115)</f>
      </c>
      <c r="P115" s="11">
        <f>IF(OR(M115="",M115&lt;=0),"자본잠식",ROUND(L115/M115*100,1))</f>
      </c>
      <c r="Q115" s="11">
        <f>IF(OR(M115="",M115&lt;=0),"—",ROUND(O115/M115*100,1))</f>
      </c>
    </row>
    <row r="116">
      <c r="A116" s="11" t="str">
        <f>IF(종목!A23="","",종목!A23)</f>
      </c>
      <c r="B116" s="11" t="str">
        <f>IF(종목!A23="","",종목!B23)</f>
      </c>
      <c r="C116" s="11">
        <f>IF(종목!A23="","",게임설정!$B$12)</f>
      </c>
      <c r="D116" s="7"/>
      <c r="E116" s="7"/>
      <c r="F116" s="7"/>
      <c r="G116" s="7"/>
      <c r="H116" s="7"/>
      <c r="I116" s="7"/>
      <c r="J116" s="7"/>
      <c r="K116" s="11">
        <f>IF(D116="","",D116+E116)</f>
      </c>
      <c r="L116" s="11">
        <f>IF(F116="","",F116+G116)</f>
      </c>
      <c r="M116" s="11">
        <f>IF(K116="","",K116-L116)</f>
      </c>
      <c r="N116" s="11">
        <f>IF(H116="","",H116-I116)</f>
      </c>
      <c r="O116" s="11">
        <f>IF(N116="","",N116-J116)</f>
      </c>
      <c r="P116" s="11">
        <f>IF(OR(M116="",M116&lt;=0),"자본잠식",ROUND(L116/M116*100,1))</f>
      </c>
      <c r="Q116" s="11">
        <f>IF(OR(M116="",M116&lt;=0),"—",ROUND(O116/M116*100,1))</f>
      </c>
    </row>
    <row r="117">
      <c r="A117" s="11" t="str">
        <f>IF(종목!A23="","",종목!A23)</f>
      </c>
      <c r="B117" s="11" t="str">
        <f>IF(종목!A23="","",종목!B23)</f>
      </c>
      <c r="C117" s="11">
        <f>IF(종목!A23="","",게임설정!$B$13)</f>
      </c>
      <c r="D117" s="7"/>
      <c r="E117" s="7"/>
      <c r="F117" s="7"/>
      <c r="G117" s="7"/>
      <c r="H117" s="7"/>
      <c r="I117" s="7"/>
      <c r="J117" s="7"/>
      <c r="K117" s="11">
        <f>IF(D117="","",D117+E117)</f>
      </c>
      <c r="L117" s="11">
        <f>IF(F117="","",F117+G117)</f>
      </c>
      <c r="M117" s="11">
        <f>IF(K117="","",K117-L117)</f>
      </c>
      <c r="N117" s="11">
        <f>IF(H117="","",H117-I117)</f>
      </c>
      <c r="O117" s="11">
        <f>IF(N117="","",N117-J117)</f>
      </c>
      <c r="P117" s="11">
        <f>IF(OR(M117="",M117&lt;=0),"자본잠식",ROUND(L117/M117*100,1))</f>
      </c>
      <c r="Q117" s="11">
        <f>IF(OR(M117="",M117&lt;=0),"—",ROUND(O117/M117*100,1))</f>
      </c>
    </row>
    <row r="118">
      <c r="A118" s="11" t="str">
        <f>IF(종목!A23="","",종목!A23)</f>
      </c>
      <c r="B118" s="11" t="str">
        <f>IF(종목!A23="","",종목!B23)</f>
      </c>
      <c r="C118" s="11">
        <f>IF(종목!A23="","",게임설정!$B$8)</f>
      </c>
      <c r="D118" s="7"/>
      <c r="E118" s="7"/>
      <c r="F118" s="7"/>
      <c r="G118" s="7"/>
      <c r="H118" s="7"/>
      <c r="I118" s="7"/>
      <c r="J118" s="7"/>
      <c r="K118" s="11">
        <f>IF(D118="","",D118+E118)</f>
      </c>
      <c r="L118" s="11">
        <f>IF(F118="","",F118+G118)</f>
      </c>
      <c r="M118" s="11">
        <f>IF(K118="","",K118-L118)</f>
      </c>
      <c r="N118" s="11">
        <f>IF(H118="","",H118-I118)</f>
      </c>
      <c r="O118" s="11">
        <f>IF(N118="","",N118-J118)</f>
      </c>
      <c r="P118" s="11">
        <f>IF(OR(M118="",M118&lt;=0),"자본잠식",ROUND(L118/M118*100,1))</f>
      </c>
      <c r="Q118" s="11">
        <f>IF(OR(M118="",M118&lt;=0),"—",ROUND(O118/M118*100,1))</f>
      </c>
    </row>
    <row r="119">
      <c r="A119" s="11" t="str">
        <f>IF(종목!A24="","",종목!A24)</f>
      </c>
      <c r="B119" s="11" t="str">
        <f>IF(종목!A24="","",종목!B24)</f>
      </c>
      <c r="C119" s="11">
        <f>IF(종목!A24="","",게임설정!$B$9)</f>
      </c>
      <c r="D119" s="7"/>
      <c r="E119" s="7"/>
      <c r="F119" s="7"/>
      <c r="G119" s="7"/>
      <c r="H119" s="7"/>
      <c r="I119" s="7"/>
      <c r="J119" s="7"/>
      <c r="K119" s="11">
        <f>IF(D119="","",D119+E119)</f>
      </c>
      <c r="L119" s="11">
        <f>IF(F119="","",F119+G119)</f>
      </c>
      <c r="M119" s="11">
        <f>IF(K119="","",K119-L119)</f>
      </c>
      <c r="N119" s="11">
        <f>IF(H119="","",H119-I119)</f>
      </c>
      <c r="O119" s="11">
        <f>IF(N119="","",N119-J119)</f>
      </c>
      <c r="P119" s="11">
        <f>IF(OR(M119="",M119&lt;=0),"자본잠식",ROUND(L119/M119*100,1))</f>
      </c>
      <c r="Q119" s="11">
        <f>IF(OR(M119="",M119&lt;=0),"—",ROUND(O119/M119*100,1))</f>
      </c>
    </row>
    <row r="120">
      <c r="A120" s="11" t="str">
        <f>IF(종목!A24="","",종목!A24)</f>
      </c>
      <c r="B120" s="11" t="str">
        <f>IF(종목!A24="","",종목!B24)</f>
      </c>
      <c r="C120" s="11">
        <f>IF(종목!A24="","",게임설정!$B$10)</f>
      </c>
      <c r="D120" s="7"/>
      <c r="E120" s="7"/>
      <c r="F120" s="7"/>
      <c r="G120" s="7"/>
      <c r="H120" s="7"/>
      <c r="I120" s="7"/>
      <c r="J120" s="7"/>
      <c r="K120" s="11">
        <f>IF(D120="","",D120+E120)</f>
      </c>
      <c r="L120" s="11">
        <f>IF(F120="","",F120+G120)</f>
      </c>
      <c r="M120" s="11">
        <f>IF(K120="","",K120-L120)</f>
      </c>
      <c r="N120" s="11">
        <f>IF(H120="","",H120-I120)</f>
      </c>
      <c r="O120" s="11">
        <f>IF(N120="","",N120-J120)</f>
      </c>
      <c r="P120" s="11">
        <f>IF(OR(M120="",M120&lt;=0),"자본잠식",ROUND(L120/M120*100,1))</f>
      </c>
      <c r="Q120" s="11">
        <f>IF(OR(M120="",M120&lt;=0),"—",ROUND(O120/M120*100,1))</f>
      </c>
    </row>
    <row r="121">
      <c r="A121" s="11" t="str">
        <f>IF(종목!A24="","",종목!A24)</f>
      </c>
      <c r="B121" s="11" t="str">
        <f>IF(종목!A24="","",종목!B24)</f>
      </c>
      <c r="C121" s="11">
        <f>IF(종목!A24="","",게임설정!$B$11)</f>
      </c>
      <c r="D121" s="7"/>
      <c r="E121" s="7"/>
      <c r="F121" s="7"/>
      <c r="G121" s="7"/>
      <c r="H121" s="7"/>
      <c r="I121" s="7"/>
      <c r="J121" s="7"/>
      <c r="K121" s="11">
        <f>IF(D121="","",D121+E121)</f>
      </c>
      <c r="L121" s="11">
        <f>IF(F121="","",F121+G121)</f>
      </c>
      <c r="M121" s="11">
        <f>IF(K121="","",K121-L121)</f>
      </c>
      <c r="N121" s="11">
        <f>IF(H121="","",H121-I121)</f>
      </c>
      <c r="O121" s="11">
        <f>IF(N121="","",N121-J121)</f>
      </c>
      <c r="P121" s="11">
        <f>IF(OR(M121="",M121&lt;=0),"자본잠식",ROUND(L121/M121*100,1))</f>
      </c>
      <c r="Q121" s="11">
        <f>IF(OR(M121="",M121&lt;=0),"—",ROUND(O121/M121*100,1))</f>
      </c>
    </row>
    <row r="122">
      <c r="A122" s="11" t="str">
        <f>IF(종목!A24="","",종목!A24)</f>
      </c>
      <c r="B122" s="11" t="str">
        <f>IF(종목!A24="","",종목!B24)</f>
      </c>
      <c r="C122" s="11">
        <f>IF(종목!A24="","",게임설정!$B$12)</f>
      </c>
      <c r="D122" s="7"/>
      <c r="E122" s="7"/>
      <c r="F122" s="7"/>
      <c r="G122" s="7"/>
      <c r="H122" s="7"/>
      <c r="I122" s="7"/>
      <c r="J122" s="7"/>
      <c r="K122" s="11">
        <f>IF(D122="","",D122+E122)</f>
      </c>
      <c r="L122" s="11">
        <f>IF(F122="","",F122+G122)</f>
      </c>
      <c r="M122" s="11">
        <f>IF(K122="","",K122-L122)</f>
      </c>
      <c r="N122" s="11">
        <f>IF(H122="","",H122-I122)</f>
      </c>
      <c r="O122" s="11">
        <f>IF(N122="","",N122-J122)</f>
      </c>
      <c r="P122" s="11">
        <f>IF(OR(M122="",M122&lt;=0),"자본잠식",ROUND(L122/M122*100,1))</f>
      </c>
      <c r="Q122" s="11">
        <f>IF(OR(M122="",M122&lt;=0),"—",ROUND(O122/M122*100,1))</f>
      </c>
    </row>
    <row r="123">
      <c r="A123" s="11" t="str">
        <f>IF(종목!A24="","",종목!A24)</f>
      </c>
      <c r="B123" s="11" t="str">
        <f>IF(종목!A24="","",종목!B24)</f>
      </c>
      <c r="C123" s="11">
        <f>IF(종목!A24="","",게임설정!$B$13)</f>
      </c>
      <c r="D123" s="7"/>
      <c r="E123" s="7"/>
      <c r="F123" s="7"/>
      <c r="G123" s="7"/>
      <c r="H123" s="7"/>
      <c r="I123" s="7"/>
      <c r="J123" s="7"/>
      <c r="K123" s="11">
        <f>IF(D123="","",D123+E123)</f>
      </c>
      <c r="L123" s="11">
        <f>IF(F123="","",F123+G123)</f>
      </c>
      <c r="M123" s="11">
        <f>IF(K123="","",K123-L123)</f>
      </c>
      <c r="N123" s="11">
        <f>IF(H123="","",H123-I123)</f>
      </c>
      <c r="O123" s="11">
        <f>IF(N123="","",N123-J123)</f>
      </c>
      <c r="P123" s="11">
        <f>IF(OR(M123="",M123&lt;=0),"자본잠식",ROUND(L123/M123*100,1))</f>
      </c>
      <c r="Q123" s="11">
        <f>IF(OR(M123="",M123&lt;=0),"—",ROUND(O123/M123*100,1))</f>
      </c>
    </row>
    <row r="124">
      <c r="A124" s="11" t="str">
        <f>IF(종목!A24="","",종목!A24)</f>
      </c>
      <c r="B124" s="11" t="str">
        <f>IF(종목!A24="","",종목!B24)</f>
      </c>
      <c r="C124" s="11">
        <f>IF(종목!A24="","",게임설정!$B$8)</f>
      </c>
      <c r="D124" s="7"/>
      <c r="E124" s="7"/>
      <c r="F124" s="7"/>
      <c r="G124" s="7"/>
      <c r="H124" s="7"/>
      <c r="I124" s="7"/>
      <c r="J124" s="7"/>
      <c r="K124" s="11">
        <f>IF(D124="","",D124+E124)</f>
      </c>
      <c r="L124" s="11">
        <f>IF(F124="","",F124+G124)</f>
      </c>
      <c r="M124" s="11">
        <f>IF(K124="","",K124-L124)</f>
      </c>
      <c r="N124" s="11">
        <f>IF(H124="","",H124-I124)</f>
      </c>
      <c r="O124" s="11">
        <f>IF(N124="","",N124-J124)</f>
      </c>
      <c r="P124" s="11">
        <f>IF(OR(M124="",M124&lt;=0),"자본잠식",ROUND(L124/M124*100,1))</f>
      </c>
      <c r="Q124" s="11">
        <f>IF(OR(M124="",M124&lt;=0),"—",ROUND(O124/M124*100,1))</f>
      </c>
    </row>
    <row r="125">
      <c r="A125" s="11" t="str">
        <f>IF(종목!A25="","",종목!A25)</f>
      </c>
      <c r="B125" s="11" t="str">
        <f>IF(종목!A25="","",종목!B25)</f>
      </c>
      <c r="C125" s="11">
        <f>IF(종목!A25="","",게임설정!$B$9)</f>
      </c>
      <c r="D125" s="7"/>
      <c r="E125" s="7"/>
      <c r="F125" s="7"/>
      <c r="G125" s="7"/>
      <c r="H125" s="7"/>
      <c r="I125" s="7"/>
      <c r="J125" s="7"/>
      <c r="K125" s="11">
        <f>IF(D125="","",D125+E125)</f>
      </c>
      <c r="L125" s="11">
        <f>IF(F125="","",F125+G125)</f>
      </c>
      <c r="M125" s="11">
        <f>IF(K125="","",K125-L125)</f>
      </c>
      <c r="N125" s="11">
        <f>IF(H125="","",H125-I125)</f>
      </c>
      <c r="O125" s="11">
        <f>IF(N125="","",N125-J125)</f>
      </c>
      <c r="P125" s="11">
        <f>IF(OR(M125="",M125&lt;=0),"자본잠식",ROUND(L125/M125*100,1))</f>
      </c>
      <c r="Q125" s="11">
        <f>IF(OR(M125="",M125&lt;=0),"—",ROUND(O125/M125*100,1))</f>
      </c>
    </row>
    <row r="126">
      <c r="A126" s="11" t="str">
        <f>IF(종목!A25="","",종목!A25)</f>
      </c>
      <c r="B126" s="11" t="str">
        <f>IF(종목!A25="","",종목!B25)</f>
      </c>
      <c r="C126" s="11">
        <f>IF(종목!A25="","",게임설정!$B$10)</f>
      </c>
      <c r="D126" s="7"/>
      <c r="E126" s="7"/>
      <c r="F126" s="7"/>
      <c r="G126" s="7"/>
      <c r="H126" s="7"/>
      <c r="I126" s="7"/>
      <c r="J126" s="7"/>
      <c r="K126" s="11">
        <f>IF(D126="","",D126+E126)</f>
      </c>
      <c r="L126" s="11">
        <f>IF(F126="","",F126+G126)</f>
      </c>
      <c r="M126" s="11">
        <f>IF(K126="","",K126-L126)</f>
      </c>
      <c r="N126" s="11">
        <f>IF(H126="","",H126-I126)</f>
      </c>
      <c r="O126" s="11">
        <f>IF(N126="","",N126-J126)</f>
      </c>
      <c r="P126" s="11">
        <f>IF(OR(M126="",M126&lt;=0),"자본잠식",ROUND(L126/M126*100,1))</f>
      </c>
      <c r="Q126" s="11">
        <f>IF(OR(M126="",M126&lt;=0),"—",ROUND(O126/M126*100,1))</f>
      </c>
    </row>
    <row r="127">
      <c r="A127" s="11" t="str">
        <f>IF(종목!A25="","",종목!A25)</f>
      </c>
      <c r="B127" s="11" t="str">
        <f>IF(종목!A25="","",종목!B25)</f>
      </c>
      <c r="C127" s="11">
        <f>IF(종목!A25="","",게임설정!$B$11)</f>
      </c>
      <c r="D127" s="7"/>
      <c r="E127" s="7"/>
      <c r="F127" s="7"/>
      <c r="G127" s="7"/>
      <c r="H127" s="7"/>
      <c r="I127" s="7"/>
      <c r="J127" s="7"/>
      <c r="K127" s="11">
        <f>IF(D127="","",D127+E127)</f>
      </c>
      <c r="L127" s="11">
        <f>IF(F127="","",F127+G127)</f>
      </c>
      <c r="M127" s="11">
        <f>IF(K127="","",K127-L127)</f>
      </c>
      <c r="N127" s="11">
        <f>IF(H127="","",H127-I127)</f>
      </c>
      <c r="O127" s="11">
        <f>IF(N127="","",N127-J127)</f>
      </c>
      <c r="P127" s="11">
        <f>IF(OR(M127="",M127&lt;=0),"자본잠식",ROUND(L127/M127*100,1))</f>
      </c>
      <c r="Q127" s="11">
        <f>IF(OR(M127="",M127&lt;=0),"—",ROUND(O127/M127*100,1))</f>
      </c>
    </row>
    <row r="128">
      <c r="A128" s="11" t="str">
        <f>IF(종목!A25="","",종목!A25)</f>
      </c>
      <c r="B128" s="11" t="str">
        <f>IF(종목!A25="","",종목!B25)</f>
      </c>
      <c r="C128" s="11">
        <f>IF(종목!A25="","",게임설정!$B$12)</f>
      </c>
      <c r="D128" s="7"/>
      <c r="E128" s="7"/>
      <c r="F128" s="7"/>
      <c r="G128" s="7"/>
      <c r="H128" s="7"/>
      <c r="I128" s="7"/>
      <c r="J128" s="7"/>
      <c r="K128" s="11">
        <f>IF(D128="","",D128+E128)</f>
      </c>
      <c r="L128" s="11">
        <f>IF(F128="","",F128+G128)</f>
      </c>
      <c r="M128" s="11">
        <f>IF(K128="","",K128-L128)</f>
      </c>
      <c r="N128" s="11">
        <f>IF(H128="","",H128-I128)</f>
      </c>
      <c r="O128" s="11">
        <f>IF(N128="","",N128-J128)</f>
      </c>
      <c r="P128" s="11">
        <f>IF(OR(M128="",M128&lt;=0),"자본잠식",ROUND(L128/M128*100,1))</f>
      </c>
      <c r="Q128" s="11">
        <f>IF(OR(M128="",M128&lt;=0),"—",ROUND(O128/M128*100,1))</f>
      </c>
    </row>
    <row r="129">
      <c r="A129" s="11" t="str">
        <f>IF(종목!A25="","",종목!A25)</f>
      </c>
      <c r="B129" s="11" t="str">
        <f>IF(종목!A25="","",종목!B25)</f>
      </c>
      <c r="C129" s="11">
        <f>IF(종목!A25="","",게임설정!$B$13)</f>
      </c>
      <c r="D129" s="7"/>
      <c r="E129" s="7"/>
      <c r="F129" s="7"/>
      <c r="G129" s="7"/>
      <c r="H129" s="7"/>
      <c r="I129" s="7"/>
      <c r="J129" s="7"/>
      <c r="K129" s="11">
        <f>IF(D129="","",D129+E129)</f>
      </c>
      <c r="L129" s="11">
        <f>IF(F129="","",F129+G129)</f>
      </c>
      <c r="M129" s="11">
        <f>IF(K129="","",K129-L129)</f>
      </c>
      <c r="N129" s="11">
        <f>IF(H129="","",H129-I129)</f>
      </c>
      <c r="O129" s="11">
        <f>IF(N129="","",N129-J129)</f>
      </c>
      <c r="P129" s="11">
        <f>IF(OR(M129="",M129&lt;=0),"자본잠식",ROUND(L129/M129*100,1))</f>
      </c>
      <c r="Q129" s="11">
        <f>IF(OR(M129="",M129&lt;=0),"—",ROUND(O129/M129*100,1))</f>
      </c>
    </row>
    <row r="130">
      <c r="A130" s="11" t="str">
        <f>IF(종목!A25="","",종목!A25)</f>
      </c>
      <c r="B130" s="11" t="str">
        <f>IF(종목!A25="","",종목!B25)</f>
      </c>
      <c r="C130" s="11">
        <f>IF(종목!A25="","",게임설정!$B$8)</f>
      </c>
      <c r="D130" s="7"/>
      <c r="E130" s="7"/>
      <c r="F130" s="7"/>
      <c r="G130" s="7"/>
      <c r="H130" s="7"/>
      <c r="I130" s="7"/>
      <c r="J130" s="7"/>
      <c r="K130" s="11">
        <f>IF(D130="","",D130+E130)</f>
      </c>
      <c r="L130" s="11">
        <f>IF(F130="","",F130+G130)</f>
      </c>
      <c r="M130" s="11">
        <f>IF(K130="","",K130-L130)</f>
      </c>
      <c r="N130" s="11">
        <f>IF(H130="","",H130-I130)</f>
      </c>
      <c r="O130" s="11">
        <f>IF(N130="","",N130-J130)</f>
      </c>
      <c r="P130" s="11">
        <f>IF(OR(M130="",M130&lt;=0),"자본잠식",ROUND(L130/M130*100,1))</f>
      </c>
      <c r="Q130" s="11">
        <f>IF(OR(M130="",M130&lt;=0),"—",ROUND(O130/M130*100,1))</f>
      </c>
    </row>
    <row r="131">
      <c r="A131" s="11" t="str">
        <f>IF(종목!A26="","",종목!A26)</f>
      </c>
      <c r="B131" s="11" t="str">
        <f>IF(종목!A26="","",종목!B26)</f>
      </c>
      <c r="C131" s="11">
        <f>IF(종목!A26="","",게임설정!$B$9)</f>
      </c>
      <c r="D131" s="7"/>
      <c r="E131" s="7"/>
      <c r="F131" s="7"/>
      <c r="G131" s="7"/>
      <c r="H131" s="7"/>
      <c r="I131" s="7"/>
      <c r="J131" s="7"/>
      <c r="K131" s="11">
        <f>IF(D131="","",D131+E131)</f>
      </c>
      <c r="L131" s="11">
        <f>IF(F131="","",F131+G131)</f>
      </c>
      <c r="M131" s="11">
        <f>IF(K131="","",K131-L131)</f>
      </c>
      <c r="N131" s="11">
        <f>IF(H131="","",H131-I131)</f>
      </c>
      <c r="O131" s="11">
        <f>IF(N131="","",N131-J131)</f>
      </c>
      <c r="P131" s="11">
        <f>IF(OR(M131="",M131&lt;=0),"자본잠식",ROUND(L131/M131*100,1))</f>
      </c>
      <c r="Q131" s="11">
        <f>IF(OR(M131="",M131&lt;=0),"—",ROUND(O131/M131*100,1))</f>
      </c>
    </row>
    <row r="132">
      <c r="A132" s="11" t="str">
        <f>IF(종목!A26="","",종목!A26)</f>
      </c>
      <c r="B132" s="11" t="str">
        <f>IF(종목!A26="","",종목!B26)</f>
      </c>
      <c r="C132" s="11">
        <f>IF(종목!A26="","",게임설정!$B$10)</f>
      </c>
      <c r="D132" s="7"/>
      <c r="E132" s="7"/>
      <c r="F132" s="7"/>
      <c r="G132" s="7"/>
      <c r="H132" s="7"/>
      <c r="I132" s="7"/>
      <c r="J132" s="7"/>
      <c r="K132" s="11">
        <f>IF(D132="","",D132+E132)</f>
      </c>
      <c r="L132" s="11">
        <f>IF(F132="","",F132+G132)</f>
      </c>
      <c r="M132" s="11">
        <f>IF(K132="","",K132-L132)</f>
      </c>
      <c r="N132" s="11">
        <f>IF(H132="","",H132-I132)</f>
      </c>
      <c r="O132" s="11">
        <f>IF(N132="","",N132-J132)</f>
      </c>
      <c r="P132" s="11">
        <f>IF(OR(M132="",M132&lt;=0),"자본잠식",ROUND(L132/M132*100,1))</f>
      </c>
      <c r="Q132" s="11">
        <f>IF(OR(M132="",M132&lt;=0),"—",ROUND(O132/M132*100,1))</f>
      </c>
    </row>
    <row r="133">
      <c r="A133" s="11" t="str">
        <f>IF(종목!A26="","",종목!A26)</f>
      </c>
      <c r="B133" s="11" t="str">
        <f>IF(종목!A26="","",종목!B26)</f>
      </c>
      <c r="C133" s="11">
        <f>IF(종목!A26="","",게임설정!$B$11)</f>
      </c>
      <c r="D133" s="7"/>
      <c r="E133" s="7"/>
      <c r="F133" s="7"/>
      <c r="G133" s="7"/>
      <c r="H133" s="7"/>
      <c r="I133" s="7"/>
      <c r="J133" s="7"/>
      <c r="K133" s="11">
        <f>IF(D133="","",D133+E133)</f>
      </c>
      <c r="L133" s="11">
        <f>IF(F133="","",F133+G133)</f>
      </c>
      <c r="M133" s="11">
        <f>IF(K133="","",K133-L133)</f>
      </c>
      <c r="N133" s="11">
        <f>IF(H133="","",H133-I133)</f>
      </c>
      <c r="O133" s="11">
        <f>IF(N133="","",N133-J133)</f>
      </c>
      <c r="P133" s="11">
        <f>IF(OR(M133="",M133&lt;=0),"자본잠식",ROUND(L133/M133*100,1))</f>
      </c>
      <c r="Q133" s="11">
        <f>IF(OR(M133="",M133&lt;=0),"—",ROUND(O133/M133*100,1))</f>
      </c>
    </row>
    <row r="134">
      <c r="A134" s="11" t="str">
        <f>IF(종목!A26="","",종목!A26)</f>
      </c>
      <c r="B134" s="11" t="str">
        <f>IF(종목!A26="","",종목!B26)</f>
      </c>
      <c r="C134" s="11">
        <f>IF(종목!A26="","",게임설정!$B$12)</f>
      </c>
      <c r="D134" s="7"/>
      <c r="E134" s="7"/>
      <c r="F134" s="7"/>
      <c r="G134" s="7"/>
      <c r="H134" s="7"/>
      <c r="I134" s="7"/>
      <c r="J134" s="7"/>
      <c r="K134" s="11">
        <f>IF(D134="","",D134+E134)</f>
      </c>
      <c r="L134" s="11">
        <f>IF(F134="","",F134+G134)</f>
      </c>
      <c r="M134" s="11">
        <f>IF(K134="","",K134-L134)</f>
      </c>
      <c r="N134" s="11">
        <f>IF(H134="","",H134-I134)</f>
      </c>
      <c r="O134" s="11">
        <f>IF(N134="","",N134-J134)</f>
      </c>
      <c r="P134" s="11">
        <f>IF(OR(M134="",M134&lt;=0),"자본잠식",ROUND(L134/M134*100,1))</f>
      </c>
      <c r="Q134" s="11">
        <f>IF(OR(M134="",M134&lt;=0),"—",ROUND(O134/M134*100,1))</f>
      </c>
    </row>
    <row r="135">
      <c r="A135" s="11" t="str">
        <f>IF(종목!A26="","",종목!A26)</f>
      </c>
      <c r="B135" s="11" t="str">
        <f>IF(종목!A26="","",종목!B26)</f>
      </c>
      <c r="C135" s="11">
        <f>IF(종목!A26="","",게임설정!$B$13)</f>
      </c>
      <c r="D135" s="7"/>
      <c r="E135" s="7"/>
      <c r="F135" s="7"/>
      <c r="G135" s="7"/>
      <c r="H135" s="7"/>
      <c r="I135" s="7"/>
      <c r="J135" s="7"/>
      <c r="K135" s="11">
        <f>IF(D135="","",D135+E135)</f>
      </c>
      <c r="L135" s="11">
        <f>IF(F135="","",F135+G135)</f>
      </c>
      <c r="M135" s="11">
        <f>IF(K135="","",K135-L135)</f>
      </c>
      <c r="N135" s="11">
        <f>IF(H135="","",H135-I135)</f>
      </c>
      <c r="O135" s="11">
        <f>IF(N135="","",N135-J135)</f>
      </c>
      <c r="P135" s="11">
        <f>IF(OR(M135="",M135&lt;=0),"자본잠식",ROUND(L135/M135*100,1))</f>
      </c>
      <c r="Q135" s="11">
        <f>IF(OR(M135="",M135&lt;=0),"—",ROUND(O135/M135*100,1))</f>
      </c>
    </row>
    <row r="136">
      <c r="A136" s="11" t="str">
        <f>IF(종목!A26="","",종목!A26)</f>
      </c>
      <c r="B136" s="11" t="str">
        <f>IF(종목!A26="","",종목!B26)</f>
      </c>
      <c r="C136" s="11">
        <f>IF(종목!A26="","",게임설정!$B$8)</f>
      </c>
      <c r="D136" s="7"/>
      <c r="E136" s="7"/>
      <c r="F136" s="7"/>
      <c r="G136" s="7"/>
      <c r="H136" s="7"/>
      <c r="I136" s="7"/>
      <c r="J136" s="7"/>
      <c r="K136" s="11">
        <f>IF(D136="","",D136+E136)</f>
      </c>
      <c r="L136" s="11">
        <f>IF(F136="","",F136+G136)</f>
      </c>
      <c r="M136" s="11">
        <f>IF(K136="","",K136-L136)</f>
      </c>
      <c r="N136" s="11">
        <f>IF(H136="","",H136-I136)</f>
      </c>
      <c r="O136" s="11">
        <f>IF(N136="","",N136-J136)</f>
      </c>
      <c r="P136" s="11">
        <f>IF(OR(M136="",M136&lt;=0),"자본잠식",ROUND(L136/M136*100,1))</f>
      </c>
      <c r="Q136" s="11">
        <f>IF(OR(M136="",M136&lt;=0),"—",ROUND(O136/M136*100,1))</f>
      </c>
    </row>
    <row r="137">
      <c r="A137" s="11" t="str">
        <f>IF(종목!A27="","",종목!A27)</f>
      </c>
      <c r="B137" s="11" t="str">
        <f>IF(종목!A27="","",종목!B27)</f>
      </c>
      <c r="C137" s="11">
        <f>IF(종목!A27="","",게임설정!$B$9)</f>
      </c>
      <c r="D137" s="7"/>
      <c r="E137" s="7"/>
      <c r="F137" s="7"/>
      <c r="G137" s="7"/>
      <c r="H137" s="7"/>
      <c r="I137" s="7"/>
      <c r="J137" s="7"/>
      <c r="K137" s="11">
        <f>IF(D137="","",D137+E137)</f>
      </c>
      <c r="L137" s="11">
        <f>IF(F137="","",F137+G137)</f>
      </c>
      <c r="M137" s="11">
        <f>IF(K137="","",K137-L137)</f>
      </c>
      <c r="N137" s="11">
        <f>IF(H137="","",H137-I137)</f>
      </c>
      <c r="O137" s="11">
        <f>IF(N137="","",N137-J137)</f>
      </c>
      <c r="P137" s="11">
        <f>IF(OR(M137="",M137&lt;=0),"자본잠식",ROUND(L137/M137*100,1))</f>
      </c>
      <c r="Q137" s="11">
        <f>IF(OR(M137="",M137&lt;=0),"—",ROUND(O137/M137*100,1))</f>
      </c>
    </row>
    <row r="138">
      <c r="A138" s="11" t="str">
        <f>IF(종목!A27="","",종목!A27)</f>
      </c>
      <c r="B138" s="11" t="str">
        <f>IF(종목!A27="","",종목!B27)</f>
      </c>
      <c r="C138" s="11">
        <f>IF(종목!A27="","",게임설정!$B$10)</f>
      </c>
      <c r="D138" s="7"/>
      <c r="E138" s="7"/>
      <c r="F138" s="7"/>
      <c r="G138" s="7"/>
      <c r="H138" s="7"/>
      <c r="I138" s="7"/>
      <c r="J138" s="7"/>
      <c r="K138" s="11">
        <f>IF(D138="","",D138+E138)</f>
      </c>
      <c r="L138" s="11">
        <f>IF(F138="","",F138+G138)</f>
      </c>
      <c r="M138" s="11">
        <f>IF(K138="","",K138-L138)</f>
      </c>
      <c r="N138" s="11">
        <f>IF(H138="","",H138-I138)</f>
      </c>
      <c r="O138" s="11">
        <f>IF(N138="","",N138-J138)</f>
      </c>
      <c r="P138" s="11">
        <f>IF(OR(M138="",M138&lt;=0),"자본잠식",ROUND(L138/M138*100,1))</f>
      </c>
      <c r="Q138" s="11">
        <f>IF(OR(M138="",M138&lt;=0),"—",ROUND(O138/M138*100,1))</f>
      </c>
    </row>
    <row r="139">
      <c r="A139" s="11" t="str">
        <f>IF(종목!A27="","",종목!A27)</f>
      </c>
      <c r="B139" s="11" t="str">
        <f>IF(종목!A27="","",종목!B27)</f>
      </c>
      <c r="C139" s="11">
        <f>IF(종목!A27="","",게임설정!$B$11)</f>
      </c>
      <c r="D139" s="7"/>
      <c r="E139" s="7"/>
      <c r="F139" s="7"/>
      <c r="G139" s="7"/>
      <c r="H139" s="7"/>
      <c r="I139" s="7"/>
      <c r="J139" s="7"/>
      <c r="K139" s="11">
        <f>IF(D139="","",D139+E139)</f>
      </c>
      <c r="L139" s="11">
        <f>IF(F139="","",F139+G139)</f>
      </c>
      <c r="M139" s="11">
        <f>IF(K139="","",K139-L139)</f>
      </c>
      <c r="N139" s="11">
        <f>IF(H139="","",H139-I139)</f>
      </c>
      <c r="O139" s="11">
        <f>IF(N139="","",N139-J139)</f>
      </c>
      <c r="P139" s="11">
        <f>IF(OR(M139="",M139&lt;=0),"자본잠식",ROUND(L139/M139*100,1))</f>
      </c>
      <c r="Q139" s="11">
        <f>IF(OR(M139="",M139&lt;=0),"—",ROUND(O139/M139*100,1))</f>
      </c>
    </row>
    <row r="140">
      <c r="A140" s="11" t="str">
        <f>IF(종목!A27="","",종목!A27)</f>
      </c>
      <c r="B140" s="11" t="str">
        <f>IF(종목!A27="","",종목!B27)</f>
      </c>
      <c r="C140" s="11">
        <f>IF(종목!A27="","",게임설정!$B$12)</f>
      </c>
      <c r="D140" s="7"/>
      <c r="E140" s="7"/>
      <c r="F140" s="7"/>
      <c r="G140" s="7"/>
      <c r="H140" s="7"/>
      <c r="I140" s="7"/>
      <c r="J140" s="7"/>
      <c r="K140" s="11">
        <f>IF(D140="","",D140+E140)</f>
      </c>
      <c r="L140" s="11">
        <f>IF(F140="","",F140+G140)</f>
      </c>
      <c r="M140" s="11">
        <f>IF(K140="","",K140-L140)</f>
      </c>
      <c r="N140" s="11">
        <f>IF(H140="","",H140-I140)</f>
      </c>
      <c r="O140" s="11">
        <f>IF(N140="","",N140-J140)</f>
      </c>
      <c r="P140" s="11">
        <f>IF(OR(M140="",M140&lt;=0),"자본잠식",ROUND(L140/M140*100,1))</f>
      </c>
      <c r="Q140" s="11">
        <f>IF(OR(M140="",M140&lt;=0),"—",ROUND(O140/M140*100,1))</f>
      </c>
    </row>
    <row r="141">
      <c r="A141" s="11" t="str">
        <f>IF(종목!A27="","",종목!A27)</f>
      </c>
      <c r="B141" s="11" t="str">
        <f>IF(종목!A27="","",종목!B27)</f>
      </c>
      <c r="C141" s="11">
        <f>IF(종목!A27="","",게임설정!$B$13)</f>
      </c>
      <c r="D141" s="7"/>
      <c r="E141" s="7"/>
      <c r="F141" s="7"/>
      <c r="G141" s="7"/>
      <c r="H141" s="7"/>
      <c r="I141" s="7"/>
      <c r="J141" s="7"/>
      <c r="K141" s="11">
        <f>IF(D141="","",D141+E141)</f>
      </c>
      <c r="L141" s="11">
        <f>IF(F141="","",F141+G141)</f>
      </c>
      <c r="M141" s="11">
        <f>IF(K141="","",K141-L141)</f>
      </c>
      <c r="N141" s="11">
        <f>IF(H141="","",H141-I141)</f>
      </c>
      <c r="O141" s="11">
        <f>IF(N141="","",N141-J141)</f>
      </c>
      <c r="P141" s="11">
        <f>IF(OR(M141="",M141&lt;=0),"자본잠식",ROUND(L141/M141*100,1))</f>
      </c>
      <c r="Q141" s="11">
        <f>IF(OR(M141="",M141&lt;=0),"—",ROUND(O141/M141*100,1))</f>
      </c>
    </row>
    <row r="142">
      <c r="A142" s="11" t="str">
        <f>IF(종목!A27="","",종목!A27)</f>
      </c>
      <c r="B142" s="11" t="str">
        <f>IF(종목!A27="","",종목!B27)</f>
      </c>
      <c r="C142" s="11">
        <f>IF(종목!A27="","",게임설정!$B$8)</f>
      </c>
      <c r="D142" s="7"/>
      <c r="E142" s="7"/>
      <c r="F142" s="7"/>
      <c r="G142" s="7"/>
      <c r="H142" s="7"/>
      <c r="I142" s="7"/>
      <c r="J142" s="7"/>
      <c r="K142" s="11">
        <f>IF(D142="","",D142+E142)</f>
      </c>
      <c r="L142" s="11">
        <f>IF(F142="","",F142+G142)</f>
      </c>
      <c r="M142" s="11">
        <f>IF(K142="","",K142-L142)</f>
      </c>
      <c r="N142" s="11">
        <f>IF(H142="","",H142-I142)</f>
      </c>
      <c r="O142" s="11">
        <f>IF(N142="","",N142-J142)</f>
      </c>
      <c r="P142" s="11">
        <f>IF(OR(M142="",M142&lt;=0),"자본잠식",ROUND(L142/M142*100,1))</f>
      </c>
      <c r="Q142" s="11">
        <f>IF(OR(M142="",M142&lt;=0),"—",ROUND(O142/M142*100,1))</f>
      </c>
    </row>
    <row r="143">
      <c r="A143" s="11" t="str">
        <f>IF(종목!A28="","",종목!A28)</f>
      </c>
      <c r="B143" s="11" t="str">
        <f>IF(종목!A28="","",종목!B28)</f>
      </c>
      <c r="C143" s="11">
        <f>IF(종목!A28="","",게임설정!$B$9)</f>
      </c>
      <c r="D143" s="7"/>
      <c r="E143" s="7"/>
      <c r="F143" s="7"/>
      <c r="G143" s="7"/>
      <c r="H143" s="7"/>
      <c r="I143" s="7"/>
      <c r="J143" s="7"/>
      <c r="K143" s="11">
        <f>IF(D143="","",D143+E143)</f>
      </c>
      <c r="L143" s="11">
        <f>IF(F143="","",F143+G143)</f>
      </c>
      <c r="M143" s="11">
        <f>IF(K143="","",K143-L143)</f>
      </c>
      <c r="N143" s="11">
        <f>IF(H143="","",H143-I143)</f>
      </c>
      <c r="O143" s="11">
        <f>IF(N143="","",N143-J143)</f>
      </c>
      <c r="P143" s="11">
        <f>IF(OR(M143="",M143&lt;=0),"자본잠식",ROUND(L143/M143*100,1))</f>
      </c>
      <c r="Q143" s="11">
        <f>IF(OR(M143="",M143&lt;=0),"—",ROUND(O143/M143*100,1))</f>
      </c>
    </row>
    <row r="144">
      <c r="A144" s="11" t="str">
        <f>IF(종목!A28="","",종목!A28)</f>
      </c>
      <c r="B144" s="11" t="str">
        <f>IF(종목!A28="","",종목!B28)</f>
      </c>
      <c r="C144" s="11">
        <f>IF(종목!A28="","",게임설정!$B$10)</f>
      </c>
      <c r="D144" s="7"/>
      <c r="E144" s="7"/>
      <c r="F144" s="7"/>
      <c r="G144" s="7"/>
      <c r="H144" s="7"/>
      <c r="I144" s="7"/>
      <c r="J144" s="7"/>
      <c r="K144" s="11">
        <f>IF(D144="","",D144+E144)</f>
      </c>
      <c r="L144" s="11">
        <f>IF(F144="","",F144+G144)</f>
      </c>
      <c r="M144" s="11">
        <f>IF(K144="","",K144-L144)</f>
      </c>
      <c r="N144" s="11">
        <f>IF(H144="","",H144-I144)</f>
      </c>
      <c r="O144" s="11">
        <f>IF(N144="","",N144-J144)</f>
      </c>
      <c r="P144" s="11">
        <f>IF(OR(M144="",M144&lt;=0),"자본잠식",ROUND(L144/M144*100,1))</f>
      </c>
      <c r="Q144" s="11">
        <f>IF(OR(M144="",M144&lt;=0),"—",ROUND(O144/M144*100,1))</f>
      </c>
    </row>
    <row r="145">
      <c r="A145" s="11" t="str">
        <f>IF(종목!A28="","",종목!A28)</f>
      </c>
      <c r="B145" s="11" t="str">
        <f>IF(종목!A28="","",종목!B28)</f>
      </c>
      <c r="C145" s="11">
        <f>IF(종목!A28="","",게임설정!$B$11)</f>
      </c>
      <c r="D145" s="7"/>
      <c r="E145" s="7"/>
      <c r="F145" s="7"/>
      <c r="G145" s="7"/>
      <c r="H145" s="7"/>
      <c r="I145" s="7"/>
      <c r="J145" s="7"/>
      <c r="K145" s="11">
        <f>IF(D145="","",D145+E145)</f>
      </c>
      <c r="L145" s="11">
        <f>IF(F145="","",F145+G145)</f>
      </c>
      <c r="M145" s="11">
        <f>IF(K145="","",K145-L145)</f>
      </c>
      <c r="N145" s="11">
        <f>IF(H145="","",H145-I145)</f>
      </c>
      <c r="O145" s="11">
        <f>IF(N145="","",N145-J145)</f>
      </c>
      <c r="P145" s="11">
        <f>IF(OR(M145="",M145&lt;=0),"자본잠식",ROUND(L145/M145*100,1))</f>
      </c>
      <c r="Q145" s="11">
        <f>IF(OR(M145="",M145&lt;=0),"—",ROUND(O145/M145*100,1))</f>
      </c>
    </row>
    <row r="146">
      <c r="A146" s="11" t="str">
        <f>IF(종목!A28="","",종목!A28)</f>
      </c>
      <c r="B146" s="11" t="str">
        <f>IF(종목!A28="","",종목!B28)</f>
      </c>
      <c r="C146" s="11">
        <f>IF(종목!A28="","",게임설정!$B$12)</f>
      </c>
      <c r="D146" s="7"/>
      <c r="E146" s="7"/>
      <c r="F146" s="7"/>
      <c r="G146" s="7"/>
      <c r="H146" s="7"/>
      <c r="I146" s="7"/>
      <c r="J146" s="7"/>
      <c r="K146" s="11">
        <f>IF(D146="","",D146+E146)</f>
      </c>
      <c r="L146" s="11">
        <f>IF(F146="","",F146+G146)</f>
      </c>
      <c r="M146" s="11">
        <f>IF(K146="","",K146-L146)</f>
      </c>
      <c r="N146" s="11">
        <f>IF(H146="","",H146-I146)</f>
      </c>
      <c r="O146" s="11">
        <f>IF(N146="","",N146-J146)</f>
      </c>
      <c r="P146" s="11">
        <f>IF(OR(M146="",M146&lt;=0),"자본잠식",ROUND(L146/M146*100,1))</f>
      </c>
      <c r="Q146" s="11">
        <f>IF(OR(M146="",M146&lt;=0),"—",ROUND(O146/M146*100,1))</f>
      </c>
    </row>
    <row r="147">
      <c r="A147" s="11" t="str">
        <f>IF(종목!A28="","",종목!A28)</f>
      </c>
      <c r="B147" s="11" t="str">
        <f>IF(종목!A28="","",종목!B28)</f>
      </c>
      <c r="C147" s="11">
        <f>IF(종목!A28="","",게임설정!$B$13)</f>
      </c>
      <c r="D147" s="7"/>
      <c r="E147" s="7"/>
      <c r="F147" s="7"/>
      <c r="G147" s="7"/>
      <c r="H147" s="7"/>
      <c r="I147" s="7"/>
      <c r="J147" s="7"/>
      <c r="K147" s="11">
        <f>IF(D147="","",D147+E147)</f>
      </c>
      <c r="L147" s="11">
        <f>IF(F147="","",F147+G147)</f>
      </c>
      <c r="M147" s="11">
        <f>IF(K147="","",K147-L147)</f>
      </c>
      <c r="N147" s="11">
        <f>IF(H147="","",H147-I147)</f>
      </c>
      <c r="O147" s="11">
        <f>IF(N147="","",N147-J147)</f>
      </c>
      <c r="P147" s="11">
        <f>IF(OR(M147="",M147&lt;=0),"자본잠식",ROUND(L147/M147*100,1))</f>
      </c>
      <c r="Q147" s="11">
        <f>IF(OR(M147="",M147&lt;=0),"—",ROUND(O147/M147*100,1))</f>
      </c>
    </row>
    <row r="148">
      <c r="A148" s="11" t="str">
        <f>IF(종목!A28="","",종목!A28)</f>
      </c>
      <c r="B148" s="11" t="str">
        <f>IF(종목!A28="","",종목!B28)</f>
      </c>
      <c r="C148" s="11">
        <f>IF(종목!A28="","",게임설정!$B$8)</f>
      </c>
      <c r="D148" s="7"/>
      <c r="E148" s="7"/>
      <c r="F148" s="7"/>
      <c r="G148" s="7"/>
      <c r="H148" s="7"/>
      <c r="I148" s="7"/>
      <c r="J148" s="7"/>
      <c r="K148" s="11">
        <f>IF(D148="","",D148+E148)</f>
      </c>
      <c r="L148" s="11">
        <f>IF(F148="","",F148+G148)</f>
      </c>
      <c r="M148" s="11">
        <f>IF(K148="","",K148-L148)</f>
      </c>
      <c r="N148" s="11">
        <f>IF(H148="","",H148-I148)</f>
      </c>
      <c r="O148" s="11">
        <f>IF(N148="","",N148-J148)</f>
      </c>
      <c r="P148" s="11">
        <f>IF(OR(M148="",M148&lt;=0),"자본잠식",ROUND(L148/M148*100,1))</f>
      </c>
      <c r="Q148" s="11">
        <f>IF(OR(M148="",M148&lt;=0),"—",ROUND(O148/M148*100,1))</f>
      </c>
    </row>
    <row r="149">
      <c r="A149" s="11" t="str">
        <f>IF(종목!A29="","",종목!A29)</f>
      </c>
      <c r="B149" s="11" t="str">
        <f>IF(종목!A29="","",종목!B29)</f>
      </c>
      <c r="C149" s="11">
        <f>IF(종목!A29="","",게임설정!$B$9)</f>
      </c>
      <c r="D149" s="7"/>
      <c r="E149" s="7"/>
      <c r="F149" s="7"/>
      <c r="G149" s="7"/>
      <c r="H149" s="7"/>
      <c r="I149" s="7"/>
      <c r="J149" s="7"/>
      <c r="K149" s="11">
        <f>IF(D149="","",D149+E149)</f>
      </c>
      <c r="L149" s="11">
        <f>IF(F149="","",F149+G149)</f>
      </c>
      <c r="M149" s="11">
        <f>IF(K149="","",K149-L149)</f>
      </c>
      <c r="N149" s="11">
        <f>IF(H149="","",H149-I149)</f>
      </c>
      <c r="O149" s="11">
        <f>IF(N149="","",N149-J149)</f>
      </c>
      <c r="P149" s="11">
        <f>IF(OR(M149="",M149&lt;=0),"자본잠식",ROUND(L149/M149*100,1))</f>
      </c>
      <c r="Q149" s="11">
        <f>IF(OR(M149="",M149&lt;=0),"—",ROUND(O149/M149*100,1))</f>
      </c>
    </row>
    <row r="150">
      <c r="A150" s="11" t="str">
        <f>IF(종목!A29="","",종목!A29)</f>
      </c>
      <c r="B150" s="11" t="str">
        <f>IF(종목!A29="","",종목!B29)</f>
      </c>
      <c r="C150" s="11">
        <f>IF(종목!A29="","",게임설정!$B$10)</f>
      </c>
      <c r="D150" s="7"/>
      <c r="E150" s="7"/>
      <c r="F150" s="7"/>
      <c r="G150" s="7"/>
      <c r="H150" s="7"/>
      <c r="I150" s="7"/>
      <c r="J150" s="7"/>
      <c r="K150" s="11">
        <f>IF(D150="","",D150+E150)</f>
      </c>
      <c r="L150" s="11">
        <f>IF(F150="","",F150+G150)</f>
      </c>
      <c r="M150" s="11">
        <f>IF(K150="","",K150-L150)</f>
      </c>
      <c r="N150" s="11">
        <f>IF(H150="","",H150-I150)</f>
      </c>
      <c r="O150" s="11">
        <f>IF(N150="","",N150-J150)</f>
      </c>
      <c r="P150" s="11">
        <f>IF(OR(M150="",M150&lt;=0),"자본잠식",ROUND(L150/M150*100,1))</f>
      </c>
      <c r="Q150" s="11">
        <f>IF(OR(M150="",M150&lt;=0),"—",ROUND(O150/M150*100,1))</f>
      </c>
    </row>
    <row r="151">
      <c r="A151" s="11" t="str">
        <f>IF(종목!A29="","",종목!A29)</f>
      </c>
      <c r="B151" s="11" t="str">
        <f>IF(종목!A29="","",종목!B29)</f>
      </c>
      <c r="C151" s="11">
        <f>IF(종목!A29="","",게임설정!$B$11)</f>
      </c>
      <c r="D151" s="7"/>
      <c r="E151" s="7"/>
      <c r="F151" s="7"/>
      <c r="G151" s="7"/>
      <c r="H151" s="7"/>
      <c r="I151" s="7"/>
      <c r="J151" s="7"/>
      <c r="K151" s="11">
        <f>IF(D151="","",D151+E151)</f>
      </c>
      <c r="L151" s="11">
        <f>IF(F151="","",F151+G151)</f>
      </c>
      <c r="M151" s="11">
        <f>IF(K151="","",K151-L151)</f>
      </c>
      <c r="N151" s="11">
        <f>IF(H151="","",H151-I151)</f>
      </c>
      <c r="O151" s="11">
        <f>IF(N151="","",N151-J151)</f>
      </c>
      <c r="P151" s="11">
        <f>IF(OR(M151="",M151&lt;=0),"자본잠식",ROUND(L151/M151*100,1))</f>
      </c>
      <c r="Q151" s="11">
        <f>IF(OR(M151="",M151&lt;=0),"—",ROUND(O151/M151*100,1))</f>
      </c>
    </row>
    <row r="152">
      <c r="A152" s="11" t="str">
        <f>IF(종목!A29="","",종목!A29)</f>
      </c>
      <c r="B152" s="11" t="str">
        <f>IF(종목!A29="","",종목!B29)</f>
      </c>
      <c r="C152" s="11">
        <f>IF(종목!A29="","",게임설정!$B$12)</f>
      </c>
      <c r="D152" s="7"/>
      <c r="E152" s="7"/>
      <c r="F152" s="7"/>
      <c r="G152" s="7"/>
      <c r="H152" s="7"/>
      <c r="I152" s="7"/>
      <c r="J152" s="7"/>
      <c r="K152" s="11">
        <f>IF(D152="","",D152+E152)</f>
      </c>
      <c r="L152" s="11">
        <f>IF(F152="","",F152+G152)</f>
      </c>
      <c r="M152" s="11">
        <f>IF(K152="","",K152-L152)</f>
      </c>
      <c r="N152" s="11">
        <f>IF(H152="","",H152-I152)</f>
      </c>
      <c r="O152" s="11">
        <f>IF(N152="","",N152-J152)</f>
      </c>
      <c r="P152" s="11">
        <f>IF(OR(M152="",M152&lt;=0),"자본잠식",ROUND(L152/M152*100,1))</f>
      </c>
      <c r="Q152" s="11">
        <f>IF(OR(M152="",M152&lt;=0),"—",ROUND(O152/M152*100,1))</f>
      </c>
    </row>
    <row r="153">
      <c r="A153" s="11" t="str">
        <f>IF(종목!A29="","",종목!A29)</f>
      </c>
      <c r="B153" s="11" t="str">
        <f>IF(종목!A29="","",종목!B29)</f>
      </c>
      <c r="C153" s="11">
        <f>IF(종목!A29="","",게임설정!$B$13)</f>
      </c>
      <c r="D153" s="7"/>
      <c r="E153" s="7"/>
      <c r="F153" s="7"/>
      <c r="G153" s="7"/>
      <c r="H153" s="7"/>
      <c r="I153" s="7"/>
      <c r="J153" s="7"/>
      <c r="K153" s="11">
        <f>IF(D153="","",D153+E153)</f>
      </c>
      <c r="L153" s="11">
        <f>IF(F153="","",F153+G153)</f>
      </c>
      <c r="M153" s="11">
        <f>IF(K153="","",K153-L153)</f>
      </c>
      <c r="N153" s="11">
        <f>IF(H153="","",H153-I153)</f>
      </c>
      <c r="O153" s="11">
        <f>IF(N153="","",N153-J153)</f>
      </c>
      <c r="P153" s="11">
        <f>IF(OR(M153="",M153&lt;=0),"자본잠식",ROUND(L153/M153*100,1))</f>
      </c>
      <c r="Q153" s="11">
        <f>IF(OR(M153="",M153&lt;=0),"—",ROUND(O153/M153*100,1))</f>
      </c>
    </row>
    <row r="154">
      <c r="A154" s="11" t="str">
        <f>IF(종목!A29="","",종목!A29)</f>
      </c>
      <c r="B154" s="11" t="str">
        <f>IF(종목!A29="","",종목!B29)</f>
      </c>
      <c r="C154" s="11">
        <f>IF(종목!A29="","",게임설정!$B$8)</f>
      </c>
      <c r="D154" s="7"/>
      <c r="E154" s="7"/>
      <c r="F154" s="7"/>
      <c r="G154" s="7"/>
      <c r="H154" s="7"/>
      <c r="I154" s="7"/>
      <c r="J154" s="7"/>
      <c r="K154" s="11">
        <f>IF(D154="","",D154+E154)</f>
      </c>
      <c r="L154" s="11">
        <f>IF(F154="","",F154+G154)</f>
      </c>
      <c r="M154" s="11">
        <f>IF(K154="","",K154-L154)</f>
      </c>
      <c r="N154" s="11">
        <f>IF(H154="","",H154-I154)</f>
      </c>
      <c r="O154" s="11">
        <f>IF(N154="","",N154-J154)</f>
      </c>
      <c r="P154" s="11">
        <f>IF(OR(M154="",M154&lt;=0),"자본잠식",ROUND(L154/M154*100,1))</f>
      </c>
      <c r="Q154" s="11">
        <f>IF(OR(M154="",M154&lt;=0),"—",ROUND(O154/M154*100,1))</f>
      </c>
    </row>
    <row r="155">
      <c r="A155" s="11" t="str">
        <f>IF(종목!A30="","",종목!A30)</f>
      </c>
      <c r="B155" s="11" t="str">
        <f>IF(종목!A30="","",종목!B30)</f>
      </c>
      <c r="C155" s="11">
        <f>IF(종목!A30="","",게임설정!$B$9)</f>
      </c>
      <c r="D155" s="7"/>
      <c r="E155" s="7"/>
      <c r="F155" s="7"/>
      <c r="G155" s="7"/>
      <c r="H155" s="7"/>
      <c r="I155" s="7"/>
      <c r="J155" s="7"/>
      <c r="K155" s="11">
        <f>IF(D155="","",D155+E155)</f>
      </c>
      <c r="L155" s="11">
        <f>IF(F155="","",F155+G155)</f>
      </c>
      <c r="M155" s="11">
        <f>IF(K155="","",K155-L155)</f>
      </c>
      <c r="N155" s="11">
        <f>IF(H155="","",H155-I155)</f>
      </c>
      <c r="O155" s="11">
        <f>IF(N155="","",N155-J155)</f>
      </c>
      <c r="P155" s="11">
        <f>IF(OR(M155="",M155&lt;=0),"자본잠식",ROUND(L155/M155*100,1))</f>
      </c>
      <c r="Q155" s="11">
        <f>IF(OR(M155="",M155&lt;=0),"—",ROUND(O155/M155*100,1))</f>
      </c>
    </row>
    <row r="156">
      <c r="A156" s="11" t="str">
        <f>IF(종목!A30="","",종목!A30)</f>
      </c>
      <c r="B156" s="11" t="str">
        <f>IF(종목!A30="","",종목!B30)</f>
      </c>
      <c r="C156" s="11">
        <f>IF(종목!A30="","",게임설정!$B$10)</f>
      </c>
      <c r="D156" s="7"/>
      <c r="E156" s="7"/>
      <c r="F156" s="7"/>
      <c r="G156" s="7"/>
      <c r="H156" s="7"/>
      <c r="I156" s="7"/>
      <c r="J156" s="7"/>
      <c r="K156" s="11">
        <f>IF(D156="","",D156+E156)</f>
      </c>
      <c r="L156" s="11">
        <f>IF(F156="","",F156+G156)</f>
      </c>
      <c r="M156" s="11">
        <f>IF(K156="","",K156-L156)</f>
      </c>
      <c r="N156" s="11">
        <f>IF(H156="","",H156-I156)</f>
      </c>
      <c r="O156" s="11">
        <f>IF(N156="","",N156-J156)</f>
      </c>
      <c r="P156" s="11">
        <f>IF(OR(M156="",M156&lt;=0),"자본잠식",ROUND(L156/M156*100,1))</f>
      </c>
      <c r="Q156" s="11">
        <f>IF(OR(M156="",M156&lt;=0),"—",ROUND(O156/M156*100,1))</f>
      </c>
    </row>
    <row r="157">
      <c r="A157" s="11" t="str">
        <f>IF(종목!A30="","",종목!A30)</f>
      </c>
      <c r="B157" s="11" t="str">
        <f>IF(종목!A30="","",종목!B30)</f>
      </c>
      <c r="C157" s="11">
        <f>IF(종목!A30="","",게임설정!$B$11)</f>
      </c>
      <c r="D157" s="7"/>
      <c r="E157" s="7"/>
      <c r="F157" s="7"/>
      <c r="G157" s="7"/>
      <c r="H157" s="7"/>
      <c r="I157" s="7"/>
      <c r="J157" s="7"/>
      <c r="K157" s="11">
        <f>IF(D157="","",D157+E157)</f>
      </c>
      <c r="L157" s="11">
        <f>IF(F157="","",F157+G157)</f>
      </c>
      <c r="M157" s="11">
        <f>IF(K157="","",K157-L157)</f>
      </c>
      <c r="N157" s="11">
        <f>IF(H157="","",H157-I157)</f>
      </c>
      <c r="O157" s="11">
        <f>IF(N157="","",N157-J157)</f>
      </c>
      <c r="P157" s="11">
        <f>IF(OR(M157="",M157&lt;=0),"자본잠식",ROUND(L157/M157*100,1))</f>
      </c>
      <c r="Q157" s="11">
        <f>IF(OR(M157="",M157&lt;=0),"—",ROUND(O157/M157*100,1))</f>
      </c>
    </row>
    <row r="158">
      <c r="A158" s="11" t="str">
        <f>IF(종목!A30="","",종목!A30)</f>
      </c>
      <c r="B158" s="11" t="str">
        <f>IF(종목!A30="","",종목!B30)</f>
      </c>
      <c r="C158" s="11">
        <f>IF(종목!A30="","",게임설정!$B$12)</f>
      </c>
      <c r="D158" s="7"/>
      <c r="E158" s="7"/>
      <c r="F158" s="7"/>
      <c r="G158" s="7"/>
      <c r="H158" s="7"/>
      <c r="I158" s="7"/>
      <c r="J158" s="7"/>
      <c r="K158" s="11">
        <f>IF(D158="","",D158+E158)</f>
      </c>
      <c r="L158" s="11">
        <f>IF(F158="","",F158+G158)</f>
      </c>
      <c r="M158" s="11">
        <f>IF(K158="","",K158-L158)</f>
      </c>
      <c r="N158" s="11">
        <f>IF(H158="","",H158-I158)</f>
      </c>
      <c r="O158" s="11">
        <f>IF(N158="","",N158-J158)</f>
      </c>
      <c r="P158" s="11">
        <f>IF(OR(M158="",M158&lt;=0),"자본잠식",ROUND(L158/M158*100,1))</f>
      </c>
      <c r="Q158" s="11">
        <f>IF(OR(M158="",M158&lt;=0),"—",ROUND(O158/M158*100,1))</f>
      </c>
    </row>
    <row r="159">
      <c r="A159" s="11" t="str">
        <f>IF(종목!A30="","",종목!A30)</f>
      </c>
      <c r="B159" s="11" t="str">
        <f>IF(종목!A30="","",종목!B30)</f>
      </c>
      <c r="C159" s="11">
        <f>IF(종목!A30="","",게임설정!$B$13)</f>
      </c>
      <c r="D159" s="7"/>
      <c r="E159" s="7"/>
      <c r="F159" s="7"/>
      <c r="G159" s="7"/>
      <c r="H159" s="7"/>
      <c r="I159" s="7"/>
      <c r="J159" s="7"/>
      <c r="K159" s="11">
        <f>IF(D159="","",D159+E159)</f>
      </c>
      <c r="L159" s="11">
        <f>IF(F159="","",F159+G159)</f>
      </c>
      <c r="M159" s="11">
        <f>IF(K159="","",K159-L159)</f>
      </c>
      <c r="N159" s="11">
        <f>IF(H159="","",H159-I159)</f>
      </c>
      <c r="O159" s="11">
        <f>IF(N159="","",N159-J159)</f>
      </c>
      <c r="P159" s="11">
        <f>IF(OR(M159="",M159&lt;=0),"자본잠식",ROUND(L159/M159*100,1))</f>
      </c>
      <c r="Q159" s="11">
        <f>IF(OR(M159="",M159&lt;=0),"—",ROUND(O159/M159*100,1))</f>
      </c>
    </row>
    <row r="160">
      <c r="A160" s="11" t="str">
        <f>IF(종목!A30="","",종목!A30)</f>
      </c>
      <c r="B160" s="11" t="str">
        <f>IF(종목!A30="","",종목!B30)</f>
      </c>
      <c r="C160" s="11">
        <f>IF(종목!A30="","",게임설정!$B$8)</f>
      </c>
      <c r="D160" s="7"/>
      <c r="E160" s="7"/>
      <c r="F160" s="7"/>
      <c r="G160" s="7"/>
      <c r="H160" s="7"/>
      <c r="I160" s="7"/>
      <c r="J160" s="7"/>
      <c r="K160" s="11">
        <f>IF(D160="","",D160+E160)</f>
      </c>
      <c r="L160" s="11">
        <f>IF(F160="","",F160+G160)</f>
      </c>
      <c r="M160" s="11">
        <f>IF(K160="","",K160-L160)</f>
      </c>
      <c r="N160" s="11">
        <f>IF(H160="","",H160-I160)</f>
      </c>
      <c r="O160" s="11">
        <f>IF(N160="","",N160-J160)</f>
      </c>
      <c r="P160" s="11">
        <f>IF(OR(M160="",M160&lt;=0),"자본잠식",ROUND(L160/M160*100,1))</f>
      </c>
      <c r="Q160" s="11">
        <f>IF(OR(M160="",M160&lt;=0),"—",ROUND(O160/M160*100,1))</f>
      </c>
    </row>
    <row r="161">
      <c r="A161" s="11" t="str">
        <f>IF(종목!A31="","",종목!A31)</f>
      </c>
      <c r="B161" s="11" t="str">
        <f>IF(종목!A31="","",종목!B31)</f>
      </c>
      <c r="C161" s="11">
        <f>IF(종목!A31="","",게임설정!$B$9)</f>
      </c>
      <c r="D161" s="7"/>
      <c r="E161" s="7"/>
      <c r="F161" s="7"/>
      <c r="G161" s="7"/>
      <c r="H161" s="7"/>
      <c r="I161" s="7"/>
      <c r="J161" s="7"/>
      <c r="K161" s="11">
        <f>IF(D161="","",D161+E161)</f>
      </c>
      <c r="L161" s="11">
        <f>IF(F161="","",F161+G161)</f>
      </c>
      <c r="M161" s="11">
        <f>IF(K161="","",K161-L161)</f>
      </c>
      <c r="N161" s="11">
        <f>IF(H161="","",H161-I161)</f>
      </c>
      <c r="O161" s="11">
        <f>IF(N161="","",N161-J161)</f>
      </c>
      <c r="P161" s="11">
        <f>IF(OR(M161="",M161&lt;=0),"자본잠식",ROUND(L161/M161*100,1))</f>
      </c>
      <c r="Q161" s="11">
        <f>IF(OR(M161="",M161&lt;=0),"—",ROUND(O161/M161*100,1))</f>
      </c>
    </row>
    <row r="162">
      <c r="A162" s="11" t="str">
        <f>IF(종목!A31="","",종목!A31)</f>
      </c>
      <c r="B162" s="11" t="str">
        <f>IF(종목!A31="","",종목!B31)</f>
      </c>
      <c r="C162" s="11">
        <f>IF(종목!A31="","",게임설정!$B$10)</f>
      </c>
      <c r="D162" s="7"/>
      <c r="E162" s="7"/>
      <c r="F162" s="7"/>
      <c r="G162" s="7"/>
      <c r="H162" s="7"/>
      <c r="I162" s="7"/>
      <c r="J162" s="7"/>
      <c r="K162" s="11">
        <f>IF(D162="","",D162+E162)</f>
      </c>
      <c r="L162" s="11">
        <f>IF(F162="","",F162+G162)</f>
      </c>
      <c r="M162" s="11">
        <f>IF(K162="","",K162-L162)</f>
      </c>
      <c r="N162" s="11">
        <f>IF(H162="","",H162-I162)</f>
      </c>
      <c r="O162" s="11">
        <f>IF(N162="","",N162-J162)</f>
      </c>
      <c r="P162" s="11">
        <f>IF(OR(M162="",M162&lt;=0),"자본잠식",ROUND(L162/M162*100,1))</f>
      </c>
      <c r="Q162" s="11">
        <f>IF(OR(M162="",M162&lt;=0),"—",ROUND(O162/M162*100,1))</f>
      </c>
    </row>
    <row r="163">
      <c r="A163" s="11" t="str">
        <f>IF(종목!A31="","",종목!A31)</f>
      </c>
      <c r="B163" s="11" t="str">
        <f>IF(종목!A31="","",종목!B31)</f>
      </c>
      <c r="C163" s="11">
        <f>IF(종목!A31="","",게임설정!$B$11)</f>
      </c>
      <c r="D163" s="7"/>
      <c r="E163" s="7"/>
      <c r="F163" s="7"/>
      <c r="G163" s="7"/>
      <c r="H163" s="7"/>
      <c r="I163" s="7"/>
      <c r="J163" s="7"/>
      <c r="K163" s="11">
        <f>IF(D163="","",D163+E163)</f>
      </c>
      <c r="L163" s="11">
        <f>IF(F163="","",F163+G163)</f>
      </c>
      <c r="M163" s="11">
        <f>IF(K163="","",K163-L163)</f>
      </c>
      <c r="N163" s="11">
        <f>IF(H163="","",H163-I163)</f>
      </c>
      <c r="O163" s="11">
        <f>IF(N163="","",N163-J163)</f>
      </c>
      <c r="P163" s="11">
        <f>IF(OR(M163="",M163&lt;=0),"자본잠식",ROUND(L163/M163*100,1))</f>
      </c>
      <c r="Q163" s="11">
        <f>IF(OR(M163="",M163&lt;=0),"—",ROUND(O163/M163*100,1))</f>
      </c>
    </row>
    <row r="164">
      <c r="A164" s="11" t="str">
        <f>IF(종목!A31="","",종목!A31)</f>
      </c>
      <c r="B164" s="11" t="str">
        <f>IF(종목!A31="","",종목!B31)</f>
      </c>
      <c r="C164" s="11">
        <f>IF(종목!A31="","",게임설정!$B$12)</f>
      </c>
      <c r="D164" s="7"/>
      <c r="E164" s="7"/>
      <c r="F164" s="7"/>
      <c r="G164" s="7"/>
      <c r="H164" s="7"/>
      <c r="I164" s="7"/>
      <c r="J164" s="7"/>
      <c r="K164" s="11">
        <f>IF(D164="","",D164+E164)</f>
      </c>
      <c r="L164" s="11">
        <f>IF(F164="","",F164+G164)</f>
      </c>
      <c r="M164" s="11">
        <f>IF(K164="","",K164-L164)</f>
      </c>
      <c r="N164" s="11">
        <f>IF(H164="","",H164-I164)</f>
      </c>
      <c r="O164" s="11">
        <f>IF(N164="","",N164-J164)</f>
      </c>
      <c r="P164" s="11">
        <f>IF(OR(M164="",M164&lt;=0),"자본잠식",ROUND(L164/M164*100,1))</f>
      </c>
      <c r="Q164" s="11">
        <f>IF(OR(M164="",M164&lt;=0),"—",ROUND(O164/M164*100,1))</f>
      </c>
    </row>
    <row r="165">
      <c r="A165" s="11" t="str">
        <f>IF(종목!A31="","",종목!A31)</f>
      </c>
      <c r="B165" s="11" t="str">
        <f>IF(종목!A31="","",종목!B31)</f>
      </c>
      <c r="C165" s="11">
        <f>IF(종목!A31="","",게임설정!$B$13)</f>
      </c>
      <c r="D165" s="7"/>
      <c r="E165" s="7"/>
      <c r="F165" s="7"/>
      <c r="G165" s="7"/>
      <c r="H165" s="7"/>
      <c r="I165" s="7"/>
      <c r="J165" s="7"/>
      <c r="K165" s="11">
        <f>IF(D165="","",D165+E165)</f>
      </c>
      <c r="L165" s="11">
        <f>IF(F165="","",F165+G165)</f>
      </c>
      <c r="M165" s="11">
        <f>IF(K165="","",K165-L165)</f>
      </c>
      <c r="N165" s="11">
        <f>IF(H165="","",H165-I165)</f>
      </c>
      <c r="O165" s="11">
        <f>IF(N165="","",N165-J165)</f>
      </c>
      <c r="P165" s="11">
        <f>IF(OR(M165="",M165&lt;=0),"자본잠식",ROUND(L165/M165*100,1))</f>
      </c>
      <c r="Q165" s="11">
        <f>IF(OR(M165="",M165&lt;=0),"—",ROUND(O165/M165*100,1))</f>
      </c>
    </row>
    <row r="166">
      <c r="A166" s="11" t="str">
        <f>IF(종목!A31="","",종목!A31)</f>
      </c>
      <c r="B166" s="11" t="str">
        <f>IF(종목!A31="","",종목!B31)</f>
      </c>
      <c r="C166" s="11">
        <f>IF(종목!A31="","",게임설정!$B$8)</f>
      </c>
      <c r="D166" s="7"/>
      <c r="E166" s="7"/>
      <c r="F166" s="7"/>
      <c r="G166" s="7"/>
      <c r="H166" s="7"/>
      <c r="I166" s="7"/>
      <c r="J166" s="7"/>
      <c r="K166" s="11">
        <f>IF(D166="","",D166+E166)</f>
      </c>
      <c r="L166" s="11">
        <f>IF(F166="","",F166+G166)</f>
      </c>
      <c r="M166" s="11">
        <f>IF(K166="","",K166-L166)</f>
      </c>
      <c r="N166" s="11">
        <f>IF(H166="","",H166-I166)</f>
      </c>
      <c r="O166" s="11">
        <f>IF(N166="","",N166-J166)</f>
      </c>
      <c r="P166" s="11">
        <f>IF(OR(M166="",M166&lt;=0),"자본잠식",ROUND(L166/M166*100,1))</f>
      </c>
      <c r="Q166" s="11">
        <f>IF(OR(M166="",M166&lt;=0),"—",ROUND(O166/M166*100,1))</f>
      </c>
    </row>
    <row r="167">
      <c r="A167" s="11" t="str">
        <f>IF(종목!A32="","",종목!A32)</f>
      </c>
      <c r="B167" s="11" t="str">
        <f>IF(종목!A32="","",종목!B32)</f>
      </c>
      <c r="C167" s="11">
        <f>IF(종목!A32="","",게임설정!$B$9)</f>
      </c>
      <c r="D167" s="7"/>
      <c r="E167" s="7"/>
      <c r="F167" s="7"/>
      <c r="G167" s="7"/>
      <c r="H167" s="7"/>
      <c r="I167" s="7"/>
      <c r="J167" s="7"/>
      <c r="K167" s="11">
        <f>IF(D167="","",D167+E167)</f>
      </c>
      <c r="L167" s="11">
        <f>IF(F167="","",F167+G167)</f>
      </c>
      <c r="M167" s="11">
        <f>IF(K167="","",K167-L167)</f>
      </c>
      <c r="N167" s="11">
        <f>IF(H167="","",H167-I167)</f>
      </c>
      <c r="O167" s="11">
        <f>IF(N167="","",N167-J167)</f>
      </c>
      <c r="P167" s="11">
        <f>IF(OR(M167="",M167&lt;=0),"자본잠식",ROUND(L167/M167*100,1))</f>
      </c>
      <c r="Q167" s="11">
        <f>IF(OR(M167="",M167&lt;=0),"—",ROUND(O167/M167*100,1))</f>
      </c>
    </row>
    <row r="168">
      <c r="A168" s="11" t="str">
        <f>IF(종목!A32="","",종목!A32)</f>
      </c>
      <c r="B168" s="11" t="str">
        <f>IF(종목!A32="","",종목!B32)</f>
      </c>
      <c r="C168" s="11">
        <f>IF(종목!A32="","",게임설정!$B$10)</f>
      </c>
      <c r="D168" s="7"/>
      <c r="E168" s="7"/>
      <c r="F168" s="7"/>
      <c r="G168" s="7"/>
      <c r="H168" s="7"/>
      <c r="I168" s="7"/>
      <c r="J168" s="7"/>
      <c r="K168" s="11">
        <f>IF(D168="","",D168+E168)</f>
      </c>
      <c r="L168" s="11">
        <f>IF(F168="","",F168+G168)</f>
      </c>
      <c r="M168" s="11">
        <f>IF(K168="","",K168-L168)</f>
      </c>
      <c r="N168" s="11">
        <f>IF(H168="","",H168-I168)</f>
      </c>
      <c r="O168" s="11">
        <f>IF(N168="","",N168-J168)</f>
      </c>
      <c r="P168" s="11">
        <f>IF(OR(M168="",M168&lt;=0),"자본잠식",ROUND(L168/M168*100,1))</f>
      </c>
      <c r="Q168" s="11">
        <f>IF(OR(M168="",M168&lt;=0),"—",ROUND(O168/M168*100,1))</f>
      </c>
    </row>
    <row r="169">
      <c r="A169" s="11" t="str">
        <f>IF(종목!A32="","",종목!A32)</f>
      </c>
      <c r="B169" s="11" t="str">
        <f>IF(종목!A32="","",종목!B32)</f>
      </c>
      <c r="C169" s="11">
        <f>IF(종목!A32="","",게임설정!$B$11)</f>
      </c>
      <c r="D169" s="7"/>
      <c r="E169" s="7"/>
      <c r="F169" s="7"/>
      <c r="G169" s="7"/>
      <c r="H169" s="7"/>
      <c r="I169" s="7"/>
      <c r="J169" s="7"/>
      <c r="K169" s="11">
        <f>IF(D169="","",D169+E169)</f>
      </c>
      <c r="L169" s="11">
        <f>IF(F169="","",F169+G169)</f>
      </c>
      <c r="M169" s="11">
        <f>IF(K169="","",K169-L169)</f>
      </c>
      <c r="N169" s="11">
        <f>IF(H169="","",H169-I169)</f>
      </c>
      <c r="O169" s="11">
        <f>IF(N169="","",N169-J169)</f>
      </c>
      <c r="P169" s="11">
        <f>IF(OR(M169="",M169&lt;=0),"자본잠식",ROUND(L169/M169*100,1))</f>
      </c>
      <c r="Q169" s="11">
        <f>IF(OR(M169="",M169&lt;=0),"—",ROUND(O169/M169*100,1))</f>
      </c>
    </row>
    <row r="170">
      <c r="A170" s="11" t="str">
        <f>IF(종목!A32="","",종목!A32)</f>
      </c>
      <c r="B170" s="11" t="str">
        <f>IF(종목!A32="","",종목!B32)</f>
      </c>
      <c r="C170" s="11">
        <f>IF(종목!A32="","",게임설정!$B$12)</f>
      </c>
      <c r="D170" s="7"/>
      <c r="E170" s="7"/>
      <c r="F170" s="7"/>
      <c r="G170" s="7"/>
      <c r="H170" s="7"/>
      <c r="I170" s="7"/>
      <c r="J170" s="7"/>
      <c r="K170" s="11">
        <f>IF(D170="","",D170+E170)</f>
      </c>
      <c r="L170" s="11">
        <f>IF(F170="","",F170+G170)</f>
      </c>
      <c r="M170" s="11">
        <f>IF(K170="","",K170-L170)</f>
      </c>
      <c r="N170" s="11">
        <f>IF(H170="","",H170-I170)</f>
      </c>
      <c r="O170" s="11">
        <f>IF(N170="","",N170-J170)</f>
      </c>
      <c r="P170" s="11">
        <f>IF(OR(M170="",M170&lt;=0),"자본잠식",ROUND(L170/M170*100,1))</f>
      </c>
      <c r="Q170" s="11">
        <f>IF(OR(M170="",M170&lt;=0),"—",ROUND(O170/M170*100,1))</f>
      </c>
    </row>
    <row r="171">
      <c r="A171" s="11" t="str">
        <f>IF(종목!A32="","",종목!A32)</f>
      </c>
      <c r="B171" s="11" t="str">
        <f>IF(종목!A32="","",종목!B32)</f>
      </c>
      <c r="C171" s="11">
        <f>IF(종목!A32="","",게임설정!$B$13)</f>
      </c>
      <c r="D171" s="7"/>
      <c r="E171" s="7"/>
      <c r="F171" s="7"/>
      <c r="G171" s="7"/>
      <c r="H171" s="7"/>
      <c r="I171" s="7"/>
      <c r="J171" s="7"/>
      <c r="K171" s="11">
        <f>IF(D171="","",D171+E171)</f>
      </c>
      <c r="L171" s="11">
        <f>IF(F171="","",F171+G171)</f>
      </c>
      <c r="M171" s="11">
        <f>IF(K171="","",K171-L171)</f>
      </c>
      <c r="N171" s="11">
        <f>IF(H171="","",H171-I171)</f>
      </c>
      <c r="O171" s="11">
        <f>IF(N171="","",N171-J171)</f>
      </c>
      <c r="P171" s="11">
        <f>IF(OR(M171="",M171&lt;=0),"자본잠식",ROUND(L171/M171*100,1))</f>
      </c>
      <c r="Q171" s="11">
        <f>IF(OR(M171="",M171&lt;=0),"—",ROUND(O171/M171*100,1))</f>
      </c>
    </row>
    <row r="172">
      <c r="A172" s="11" t="str">
        <f>IF(종목!A32="","",종목!A32)</f>
      </c>
      <c r="B172" s="11" t="str">
        <f>IF(종목!A32="","",종목!B32)</f>
      </c>
      <c r="C172" s="11">
        <f>IF(종목!A32="","",게임설정!$B$8)</f>
      </c>
      <c r="D172" s="7"/>
      <c r="E172" s="7"/>
      <c r="F172" s="7"/>
      <c r="G172" s="7"/>
      <c r="H172" s="7"/>
      <c r="I172" s="7"/>
      <c r="J172" s="7"/>
      <c r="K172" s="11">
        <f>IF(D172="","",D172+E172)</f>
      </c>
      <c r="L172" s="11">
        <f>IF(F172="","",F172+G172)</f>
      </c>
      <c r="M172" s="11">
        <f>IF(K172="","",K172-L172)</f>
      </c>
      <c r="N172" s="11">
        <f>IF(H172="","",H172-I172)</f>
      </c>
      <c r="O172" s="11">
        <f>IF(N172="","",N172-J172)</f>
      </c>
      <c r="P172" s="11">
        <f>IF(OR(M172="",M172&lt;=0),"자본잠식",ROUND(L172/M172*100,1))</f>
      </c>
      <c r="Q172" s="11">
        <f>IF(OR(M172="",M172&lt;=0),"—",ROUND(O172/M172*100,1))</f>
      </c>
    </row>
    <row r="173">
      <c r="A173" s="11" t="str">
        <f>IF(종목!A33="","",종목!A33)</f>
      </c>
      <c r="B173" s="11" t="str">
        <f>IF(종목!A33="","",종목!B33)</f>
      </c>
      <c r="C173" s="11">
        <f>IF(종목!A33="","",게임설정!$B$9)</f>
      </c>
      <c r="D173" s="7"/>
      <c r="E173" s="7"/>
      <c r="F173" s="7"/>
      <c r="G173" s="7"/>
      <c r="H173" s="7"/>
      <c r="I173" s="7"/>
      <c r="J173" s="7"/>
      <c r="K173" s="11">
        <f>IF(D173="","",D173+E173)</f>
      </c>
      <c r="L173" s="11">
        <f>IF(F173="","",F173+G173)</f>
      </c>
      <c r="M173" s="11">
        <f>IF(K173="","",K173-L173)</f>
      </c>
      <c r="N173" s="11">
        <f>IF(H173="","",H173-I173)</f>
      </c>
      <c r="O173" s="11">
        <f>IF(N173="","",N173-J173)</f>
      </c>
      <c r="P173" s="11">
        <f>IF(OR(M173="",M173&lt;=0),"자본잠식",ROUND(L173/M173*100,1))</f>
      </c>
      <c r="Q173" s="11">
        <f>IF(OR(M173="",M173&lt;=0),"—",ROUND(O173/M173*100,1))</f>
      </c>
    </row>
    <row r="174">
      <c r="A174" s="11" t="str">
        <f>IF(종목!A33="","",종목!A33)</f>
      </c>
      <c r="B174" s="11" t="str">
        <f>IF(종목!A33="","",종목!B33)</f>
      </c>
      <c r="C174" s="11">
        <f>IF(종목!A33="","",게임설정!$B$10)</f>
      </c>
      <c r="D174" s="7"/>
      <c r="E174" s="7"/>
      <c r="F174" s="7"/>
      <c r="G174" s="7"/>
      <c r="H174" s="7"/>
      <c r="I174" s="7"/>
      <c r="J174" s="7"/>
      <c r="K174" s="11">
        <f>IF(D174="","",D174+E174)</f>
      </c>
      <c r="L174" s="11">
        <f>IF(F174="","",F174+G174)</f>
      </c>
      <c r="M174" s="11">
        <f>IF(K174="","",K174-L174)</f>
      </c>
      <c r="N174" s="11">
        <f>IF(H174="","",H174-I174)</f>
      </c>
      <c r="O174" s="11">
        <f>IF(N174="","",N174-J174)</f>
      </c>
      <c r="P174" s="11">
        <f>IF(OR(M174="",M174&lt;=0),"자본잠식",ROUND(L174/M174*100,1))</f>
      </c>
      <c r="Q174" s="11">
        <f>IF(OR(M174="",M174&lt;=0),"—",ROUND(O174/M174*100,1))</f>
      </c>
    </row>
    <row r="175">
      <c r="A175" s="11" t="str">
        <f>IF(종목!A33="","",종목!A33)</f>
      </c>
      <c r="B175" s="11" t="str">
        <f>IF(종목!A33="","",종목!B33)</f>
      </c>
      <c r="C175" s="11">
        <f>IF(종목!A33="","",게임설정!$B$11)</f>
      </c>
      <c r="D175" s="7"/>
      <c r="E175" s="7"/>
      <c r="F175" s="7"/>
      <c r="G175" s="7"/>
      <c r="H175" s="7"/>
      <c r="I175" s="7"/>
      <c r="J175" s="7"/>
      <c r="K175" s="11">
        <f>IF(D175="","",D175+E175)</f>
      </c>
      <c r="L175" s="11">
        <f>IF(F175="","",F175+G175)</f>
      </c>
      <c r="M175" s="11">
        <f>IF(K175="","",K175-L175)</f>
      </c>
      <c r="N175" s="11">
        <f>IF(H175="","",H175-I175)</f>
      </c>
      <c r="O175" s="11">
        <f>IF(N175="","",N175-J175)</f>
      </c>
      <c r="P175" s="11">
        <f>IF(OR(M175="",M175&lt;=0),"자본잠식",ROUND(L175/M175*100,1))</f>
      </c>
      <c r="Q175" s="11">
        <f>IF(OR(M175="",M175&lt;=0),"—",ROUND(O175/M175*100,1))</f>
      </c>
    </row>
    <row r="176">
      <c r="A176" s="11" t="str">
        <f>IF(종목!A33="","",종목!A33)</f>
      </c>
      <c r="B176" s="11" t="str">
        <f>IF(종목!A33="","",종목!B33)</f>
      </c>
      <c r="C176" s="11">
        <f>IF(종목!A33="","",게임설정!$B$12)</f>
      </c>
      <c r="D176" s="7"/>
      <c r="E176" s="7"/>
      <c r="F176" s="7"/>
      <c r="G176" s="7"/>
      <c r="H176" s="7"/>
      <c r="I176" s="7"/>
      <c r="J176" s="7"/>
      <c r="K176" s="11">
        <f>IF(D176="","",D176+E176)</f>
      </c>
      <c r="L176" s="11">
        <f>IF(F176="","",F176+G176)</f>
      </c>
      <c r="M176" s="11">
        <f>IF(K176="","",K176-L176)</f>
      </c>
      <c r="N176" s="11">
        <f>IF(H176="","",H176-I176)</f>
      </c>
      <c r="O176" s="11">
        <f>IF(N176="","",N176-J176)</f>
      </c>
      <c r="P176" s="11">
        <f>IF(OR(M176="",M176&lt;=0),"자본잠식",ROUND(L176/M176*100,1))</f>
      </c>
      <c r="Q176" s="11">
        <f>IF(OR(M176="",M176&lt;=0),"—",ROUND(O176/M176*100,1))</f>
      </c>
    </row>
    <row r="177">
      <c r="A177" s="11" t="str">
        <f>IF(종목!A33="","",종목!A33)</f>
      </c>
      <c r="B177" s="11" t="str">
        <f>IF(종목!A33="","",종목!B33)</f>
      </c>
      <c r="C177" s="11">
        <f>IF(종목!A33="","",게임설정!$B$13)</f>
      </c>
      <c r="D177" s="7"/>
      <c r="E177" s="7"/>
      <c r="F177" s="7"/>
      <c r="G177" s="7"/>
      <c r="H177" s="7"/>
      <c r="I177" s="7"/>
      <c r="J177" s="7"/>
      <c r="K177" s="11">
        <f>IF(D177="","",D177+E177)</f>
      </c>
      <c r="L177" s="11">
        <f>IF(F177="","",F177+G177)</f>
      </c>
      <c r="M177" s="11">
        <f>IF(K177="","",K177-L177)</f>
      </c>
      <c r="N177" s="11">
        <f>IF(H177="","",H177-I177)</f>
      </c>
      <c r="O177" s="11">
        <f>IF(N177="","",N177-J177)</f>
      </c>
      <c r="P177" s="11">
        <f>IF(OR(M177="",M177&lt;=0),"자본잠식",ROUND(L177/M177*100,1))</f>
      </c>
      <c r="Q177" s="11">
        <f>IF(OR(M177="",M177&lt;=0),"—",ROUND(O177/M177*100,1))</f>
      </c>
    </row>
    <row r="178">
      <c r="A178" s="11" t="str">
        <f>IF(종목!A33="","",종목!A33)</f>
      </c>
      <c r="B178" s="11" t="str">
        <f>IF(종목!A33="","",종목!B33)</f>
      </c>
      <c r="C178" s="11">
        <f>IF(종목!A33="","",게임설정!$B$8)</f>
      </c>
      <c r="D178" s="7"/>
      <c r="E178" s="7"/>
      <c r="F178" s="7"/>
      <c r="G178" s="7"/>
      <c r="H178" s="7"/>
      <c r="I178" s="7"/>
      <c r="J178" s="7"/>
      <c r="K178" s="11">
        <f>IF(D178="","",D178+E178)</f>
      </c>
      <c r="L178" s="11">
        <f>IF(F178="","",F178+G178)</f>
      </c>
      <c r="M178" s="11">
        <f>IF(K178="","",K178-L178)</f>
      </c>
      <c r="N178" s="11">
        <f>IF(H178="","",H178-I178)</f>
      </c>
      <c r="O178" s="11">
        <f>IF(N178="","",N178-J178)</f>
      </c>
      <c r="P178" s="11">
        <f>IF(OR(M178="",M178&lt;=0),"자본잠식",ROUND(L178/M178*100,1))</f>
      </c>
      <c r="Q178" s="11">
        <f>IF(OR(M178="",M178&lt;=0),"—",ROUND(O178/M178*100,1))</f>
      </c>
    </row>
    <row r="179">
      <c r="A179" s="11" t="str">
        <f>IF(종목!A34="","",종목!A34)</f>
      </c>
      <c r="B179" s="11" t="str">
        <f>IF(종목!A34="","",종목!B34)</f>
      </c>
      <c r="C179" s="11">
        <f>IF(종목!A34="","",게임설정!$B$9)</f>
      </c>
      <c r="D179" s="7"/>
      <c r="E179" s="7"/>
      <c r="F179" s="7"/>
      <c r="G179" s="7"/>
      <c r="H179" s="7"/>
      <c r="I179" s="7"/>
      <c r="J179" s="7"/>
      <c r="K179" s="11">
        <f>IF(D179="","",D179+E179)</f>
      </c>
      <c r="L179" s="11">
        <f>IF(F179="","",F179+G179)</f>
      </c>
      <c r="M179" s="11">
        <f>IF(K179="","",K179-L179)</f>
      </c>
      <c r="N179" s="11">
        <f>IF(H179="","",H179-I179)</f>
      </c>
      <c r="O179" s="11">
        <f>IF(N179="","",N179-J179)</f>
      </c>
      <c r="P179" s="11">
        <f>IF(OR(M179="",M179&lt;=0),"자본잠식",ROUND(L179/M179*100,1))</f>
      </c>
      <c r="Q179" s="11">
        <f>IF(OR(M179="",M179&lt;=0),"—",ROUND(O179/M179*100,1))</f>
      </c>
    </row>
    <row r="180">
      <c r="A180" s="11" t="str">
        <f>IF(종목!A34="","",종목!A34)</f>
      </c>
      <c r="B180" s="11" t="str">
        <f>IF(종목!A34="","",종목!B34)</f>
      </c>
      <c r="C180" s="11">
        <f>IF(종목!A34="","",게임설정!$B$10)</f>
      </c>
      <c r="D180" s="7"/>
      <c r="E180" s="7"/>
      <c r="F180" s="7"/>
      <c r="G180" s="7"/>
      <c r="H180" s="7"/>
      <c r="I180" s="7"/>
      <c r="J180" s="7"/>
      <c r="K180" s="11">
        <f>IF(D180="","",D180+E180)</f>
      </c>
      <c r="L180" s="11">
        <f>IF(F180="","",F180+G180)</f>
      </c>
      <c r="M180" s="11">
        <f>IF(K180="","",K180-L180)</f>
      </c>
      <c r="N180" s="11">
        <f>IF(H180="","",H180-I180)</f>
      </c>
      <c r="O180" s="11">
        <f>IF(N180="","",N180-J180)</f>
      </c>
      <c r="P180" s="11">
        <f>IF(OR(M180="",M180&lt;=0),"자본잠식",ROUND(L180/M180*100,1))</f>
      </c>
      <c r="Q180" s="11">
        <f>IF(OR(M180="",M180&lt;=0),"—",ROUND(O180/M180*100,1))</f>
      </c>
    </row>
    <row r="181">
      <c r="A181" s="11" t="str">
        <f>IF(종목!A34="","",종목!A34)</f>
      </c>
      <c r="B181" s="11" t="str">
        <f>IF(종목!A34="","",종목!B34)</f>
      </c>
      <c r="C181" s="11">
        <f>IF(종목!A34="","",게임설정!$B$11)</f>
      </c>
      <c r="D181" s="7"/>
      <c r="E181" s="7"/>
      <c r="F181" s="7"/>
      <c r="G181" s="7"/>
      <c r="H181" s="7"/>
      <c r="I181" s="7"/>
      <c r="J181" s="7"/>
      <c r="K181" s="11">
        <f>IF(D181="","",D181+E181)</f>
      </c>
      <c r="L181" s="11">
        <f>IF(F181="","",F181+G181)</f>
      </c>
      <c r="M181" s="11">
        <f>IF(K181="","",K181-L181)</f>
      </c>
      <c r="N181" s="11">
        <f>IF(H181="","",H181-I181)</f>
      </c>
      <c r="O181" s="11">
        <f>IF(N181="","",N181-J181)</f>
      </c>
      <c r="P181" s="11">
        <f>IF(OR(M181="",M181&lt;=0),"자본잠식",ROUND(L181/M181*100,1))</f>
      </c>
      <c r="Q181" s="11">
        <f>IF(OR(M181="",M181&lt;=0),"—",ROUND(O181/M181*100,1))</f>
      </c>
    </row>
    <row r="182">
      <c r="A182" s="11" t="str">
        <f>IF(종목!A34="","",종목!A34)</f>
      </c>
      <c r="B182" s="11" t="str">
        <f>IF(종목!A34="","",종목!B34)</f>
      </c>
      <c r="C182" s="11">
        <f>IF(종목!A34="","",게임설정!$B$12)</f>
      </c>
      <c r="D182" s="7"/>
      <c r="E182" s="7"/>
      <c r="F182" s="7"/>
      <c r="G182" s="7"/>
      <c r="H182" s="7"/>
      <c r="I182" s="7"/>
      <c r="J182" s="7"/>
      <c r="K182" s="11">
        <f>IF(D182="","",D182+E182)</f>
      </c>
      <c r="L182" s="11">
        <f>IF(F182="","",F182+G182)</f>
      </c>
      <c r="M182" s="11">
        <f>IF(K182="","",K182-L182)</f>
      </c>
      <c r="N182" s="11">
        <f>IF(H182="","",H182-I182)</f>
      </c>
      <c r="O182" s="11">
        <f>IF(N182="","",N182-J182)</f>
      </c>
      <c r="P182" s="11">
        <f>IF(OR(M182="",M182&lt;=0),"자본잠식",ROUND(L182/M182*100,1))</f>
      </c>
      <c r="Q182" s="11">
        <f>IF(OR(M182="",M182&lt;=0),"—",ROUND(O182/M182*100,1))</f>
      </c>
    </row>
    <row r="183">
      <c r="A183" s="11" t="str">
        <f>IF(종목!A34="","",종목!A34)</f>
      </c>
      <c r="B183" s="11" t="str">
        <f>IF(종목!A34="","",종목!B34)</f>
      </c>
      <c r="C183" s="11">
        <f>IF(종목!A34="","",게임설정!$B$13)</f>
      </c>
      <c r="D183" s="7"/>
      <c r="E183" s="7"/>
      <c r="F183" s="7"/>
      <c r="G183" s="7"/>
      <c r="H183" s="7"/>
      <c r="I183" s="7"/>
      <c r="J183" s="7"/>
      <c r="K183" s="11">
        <f>IF(D183="","",D183+E183)</f>
      </c>
      <c r="L183" s="11">
        <f>IF(F183="","",F183+G183)</f>
      </c>
      <c r="M183" s="11">
        <f>IF(K183="","",K183-L183)</f>
      </c>
      <c r="N183" s="11">
        <f>IF(H183="","",H183-I183)</f>
      </c>
      <c r="O183" s="11">
        <f>IF(N183="","",N183-J183)</f>
      </c>
      <c r="P183" s="11">
        <f>IF(OR(M183="",M183&lt;=0),"자본잠식",ROUND(L183/M183*100,1))</f>
      </c>
      <c r="Q183" s="11">
        <f>IF(OR(M183="",M183&lt;=0),"—",ROUND(O183/M183*100,1))</f>
      </c>
    </row>
    <row r="184">
      <c r="A184" s="11" t="str">
        <f>IF(종목!A34="","",종목!A34)</f>
      </c>
      <c r="B184" s="11" t="str">
        <f>IF(종목!A34="","",종목!B34)</f>
      </c>
      <c r="C184" s="11">
        <f>IF(종목!A34="","",게임설정!$B$8)</f>
      </c>
      <c r="D184" s="7"/>
      <c r="E184" s="7"/>
      <c r="F184" s="7"/>
      <c r="G184" s="7"/>
      <c r="H184" s="7"/>
      <c r="I184" s="7"/>
      <c r="J184" s="7"/>
      <c r="K184" s="11">
        <f>IF(D184="","",D184+E184)</f>
      </c>
      <c r="L184" s="11">
        <f>IF(F184="","",F184+G184)</f>
      </c>
      <c r="M184" s="11">
        <f>IF(K184="","",K184-L184)</f>
      </c>
      <c r="N184" s="11">
        <f>IF(H184="","",H184-I184)</f>
      </c>
      <c r="O184" s="11">
        <f>IF(N184="","",N184-J184)</f>
      </c>
      <c r="P184" s="11">
        <f>IF(OR(M184="",M184&lt;=0),"자본잠식",ROUND(L184/M184*100,1))</f>
      </c>
      <c r="Q184" s="11">
        <f>IF(OR(M184="",M184&lt;=0),"—",ROUND(O184/M184*100,1))</f>
      </c>
    </row>
    <row r="185">
      <c r="A185" s="11" t="str">
        <f>IF(종목!A35="","",종목!A35)</f>
      </c>
      <c r="B185" s="11" t="str">
        <f>IF(종목!A35="","",종목!B35)</f>
      </c>
      <c r="C185" s="11">
        <f>IF(종목!A35="","",게임설정!$B$9)</f>
      </c>
      <c r="D185" s="7"/>
      <c r="E185" s="7"/>
      <c r="F185" s="7"/>
      <c r="G185" s="7"/>
      <c r="H185" s="7"/>
      <c r="I185" s="7"/>
      <c r="J185" s="7"/>
      <c r="K185" s="11">
        <f>IF(D185="","",D185+E185)</f>
      </c>
      <c r="L185" s="11">
        <f>IF(F185="","",F185+G185)</f>
      </c>
      <c r="M185" s="11">
        <f>IF(K185="","",K185-L185)</f>
      </c>
      <c r="N185" s="11">
        <f>IF(H185="","",H185-I185)</f>
      </c>
      <c r="O185" s="11">
        <f>IF(N185="","",N185-J185)</f>
      </c>
      <c r="P185" s="11">
        <f>IF(OR(M185="",M185&lt;=0),"자본잠식",ROUND(L185/M185*100,1))</f>
      </c>
      <c r="Q185" s="11">
        <f>IF(OR(M185="",M185&lt;=0),"—",ROUND(O185/M185*100,1))</f>
      </c>
    </row>
    <row r="186">
      <c r="A186" s="11" t="str">
        <f>IF(종목!A35="","",종목!A35)</f>
      </c>
      <c r="B186" s="11" t="str">
        <f>IF(종목!A35="","",종목!B35)</f>
      </c>
      <c r="C186" s="11">
        <f>IF(종목!A35="","",게임설정!$B$10)</f>
      </c>
      <c r="D186" s="7"/>
      <c r="E186" s="7"/>
      <c r="F186" s="7"/>
      <c r="G186" s="7"/>
      <c r="H186" s="7"/>
      <c r="I186" s="7"/>
      <c r="J186" s="7"/>
      <c r="K186" s="11">
        <f>IF(D186="","",D186+E186)</f>
      </c>
      <c r="L186" s="11">
        <f>IF(F186="","",F186+G186)</f>
      </c>
      <c r="M186" s="11">
        <f>IF(K186="","",K186-L186)</f>
      </c>
      <c r="N186" s="11">
        <f>IF(H186="","",H186-I186)</f>
      </c>
      <c r="O186" s="11">
        <f>IF(N186="","",N186-J186)</f>
      </c>
      <c r="P186" s="11">
        <f>IF(OR(M186="",M186&lt;=0),"자본잠식",ROUND(L186/M186*100,1))</f>
      </c>
      <c r="Q186" s="11">
        <f>IF(OR(M186="",M186&lt;=0),"—",ROUND(O186/M186*100,1))</f>
      </c>
    </row>
    <row r="187">
      <c r="A187" s="11" t="str">
        <f>IF(종목!A35="","",종목!A35)</f>
      </c>
      <c r="B187" s="11" t="str">
        <f>IF(종목!A35="","",종목!B35)</f>
      </c>
      <c r="C187" s="11">
        <f>IF(종목!A35="","",게임설정!$B$11)</f>
      </c>
      <c r="D187" s="7"/>
      <c r="E187" s="7"/>
      <c r="F187" s="7"/>
      <c r="G187" s="7"/>
      <c r="H187" s="7"/>
      <c r="I187" s="7"/>
      <c r="J187" s="7"/>
      <c r="K187" s="11">
        <f>IF(D187="","",D187+E187)</f>
      </c>
      <c r="L187" s="11">
        <f>IF(F187="","",F187+G187)</f>
      </c>
      <c r="M187" s="11">
        <f>IF(K187="","",K187-L187)</f>
      </c>
      <c r="N187" s="11">
        <f>IF(H187="","",H187-I187)</f>
      </c>
      <c r="O187" s="11">
        <f>IF(N187="","",N187-J187)</f>
      </c>
      <c r="P187" s="11">
        <f>IF(OR(M187="",M187&lt;=0),"자본잠식",ROUND(L187/M187*100,1))</f>
      </c>
      <c r="Q187" s="11">
        <f>IF(OR(M187="",M187&lt;=0),"—",ROUND(O187/M187*100,1))</f>
      </c>
    </row>
    <row r="188">
      <c r="A188" s="11" t="str">
        <f>IF(종목!A35="","",종목!A35)</f>
      </c>
      <c r="B188" s="11" t="str">
        <f>IF(종목!A35="","",종목!B35)</f>
      </c>
      <c r="C188" s="11">
        <f>IF(종목!A35="","",게임설정!$B$12)</f>
      </c>
      <c r="D188" s="7"/>
      <c r="E188" s="7"/>
      <c r="F188" s="7"/>
      <c r="G188" s="7"/>
      <c r="H188" s="7"/>
      <c r="I188" s="7"/>
      <c r="J188" s="7"/>
      <c r="K188" s="11">
        <f>IF(D188="","",D188+E188)</f>
      </c>
      <c r="L188" s="11">
        <f>IF(F188="","",F188+G188)</f>
      </c>
      <c r="M188" s="11">
        <f>IF(K188="","",K188-L188)</f>
      </c>
      <c r="N188" s="11">
        <f>IF(H188="","",H188-I188)</f>
      </c>
      <c r="O188" s="11">
        <f>IF(N188="","",N188-J188)</f>
      </c>
      <c r="P188" s="11">
        <f>IF(OR(M188="",M188&lt;=0),"자본잠식",ROUND(L188/M188*100,1))</f>
      </c>
      <c r="Q188" s="11">
        <f>IF(OR(M188="",M188&lt;=0),"—",ROUND(O188/M188*100,1))</f>
      </c>
    </row>
    <row r="189">
      <c r="A189" s="11" t="str">
        <f>IF(종목!A35="","",종목!A35)</f>
      </c>
      <c r="B189" s="11" t="str">
        <f>IF(종목!A35="","",종목!B35)</f>
      </c>
      <c r="C189" s="11">
        <f>IF(종목!A35="","",게임설정!$B$13)</f>
      </c>
      <c r="D189" s="7"/>
      <c r="E189" s="7"/>
      <c r="F189" s="7"/>
      <c r="G189" s="7"/>
      <c r="H189" s="7"/>
      <c r="I189" s="7"/>
      <c r="J189" s="7"/>
      <c r="K189" s="11">
        <f>IF(D189="","",D189+E189)</f>
      </c>
      <c r="L189" s="11">
        <f>IF(F189="","",F189+G189)</f>
      </c>
      <c r="M189" s="11">
        <f>IF(K189="","",K189-L189)</f>
      </c>
      <c r="N189" s="11">
        <f>IF(H189="","",H189-I189)</f>
      </c>
      <c r="O189" s="11">
        <f>IF(N189="","",N189-J189)</f>
      </c>
      <c r="P189" s="11">
        <f>IF(OR(M189="",M189&lt;=0),"자본잠식",ROUND(L189/M189*100,1))</f>
      </c>
      <c r="Q189" s="11">
        <f>IF(OR(M189="",M189&lt;=0),"—",ROUND(O189/M189*100,1))</f>
      </c>
    </row>
    <row r="190">
      <c r="A190" s="11" t="str">
        <f>IF(종목!A35="","",종목!A35)</f>
      </c>
      <c r="B190" s="11" t="str">
        <f>IF(종목!A35="","",종목!B35)</f>
      </c>
      <c r="C190" s="11">
        <f>IF(종목!A35="","",게임설정!$B$8)</f>
      </c>
      <c r="D190" s="7"/>
      <c r="E190" s="7"/>
      <c r="F190" s="7"/>
      <c r="G190" s="7"/>
      <c r="H190" s="7"/>
      <c r="I190" s="7"/>
      <c r="J190" s="7"/>
      <c r="K190" s="11">
        <f>IF(D190="","",D190+E190)</f>
      </c>
      <c r="L190" s="11">
        <f>IF(F190="","",F190+G190)</f>
      </c>
      <c r="M190" s="11">
        <f>IF(K190="","",K190-L190)</f>
      </c>
      <c r="N190" s="11">
        <f>IF(H190="","",H190-I190)</f>
      </c>
      <c r="O190" s="11">
        <f>IF(N190="","",N190-J190)</f>
      </c>
      <c r="P190" s="11">
        <f>IF(OR(M190="",M190&lt;=0),"자본잠식",ROUND(L190/M190*100,1))</f>
      </c>
      <c r="Q190" s="11">
        <f>IF(OR(M190="",M190&lt;=0),"—",ROUND(O190/M190*100,1))</f>
      </c>
    </row>
    <row r="191">
      <c r="A191" s="11" t="str">
        <f>IF(종목!A36="","",종목!A36)</f>
      </c>
      <c r="B191" s="11" t="str">
        <f>IF(종목!A36="","",종목!B36)</f>
      </c>
      <c r="C191" s="11">
        <f>IF(종목!A36="","",게임설정!$B$9)</f>
      </c>
      <c r="D191" s="7"/>
      <c r="E191" s="7"/>
      <c r="F191" s="7"/>
      <c r="G191" s="7"/>
      <c r="H191" s="7"/>
      <c r="I191" s="7"/>
      <c r="J191" s="7"/>
      <c r="K191" s="11">
        <f>IF(D191="","",D191+E191)</f>
      </c>
      <c r="L191" s="11">
        <f>IF(F191="","",F191+G191)</f>
      </c>
      <c r="M191" s="11">
        <f>IF(K191="","",K191-L191)</f>
      </c>
      <c r="N191" s="11">
        <f>IF(H191="","",H191-I191)</f>
      </c>
      <c r="O191" s="11">
        <f>IF(N191="","",N191-J191)</f>
      </c>
      <c r="P191" s="11">
        <f>IF(OR(M191="",M191&lt;=0),"자본잠식",ROUND(L191/M191*100,1))</f>
      </c>
      <c r="Q191" s="11">
        <f>IF(OR(M191="",M191&lt;=0),"—",ROUND(O191/M191*100,1))</f>
      </c>
    </row>
    <row r="192">
      <c r="A192" s="11" t="str">
        <f>IF(종목!A36="","",종목!A36)</f>
      </c>
      <c r="B192" s="11" t="str">
        <f>IF(종목!A36="","",종목!B36)</f>
      </c>
      <c r="C192" s="11">
        <f>IF(종목!A36="","",게임설정!$B$10)</f>
      </c>
      <c r="D192" s="7"/>
      <c r="E192" s="7"/>
      <c r="F192" s="7"/>
      <c r="G192" s="7"/>
      <c r="H192" s="7"/>
      <c r="I192" s="7"/>
      <c r="J192" s="7"/>
      <c r="K192" s="11">
        <f>IF(D192="","",D192+E192)</f>
      </c>
      <c r="L192" s="11">
        <f>IF(F192="","",F192+G192)</f>
      </c>
      <c r="M192" s="11">
        <f>IF(K192="","",K192-L192)</f>
      </c>
      <c r="N192" s="11">
        <f>IF(H192="","",H192-I192)</f>
      </c>
      <c r="O192" s="11">
        <f>IF(N192="","",N192-J192)</f>
      </c>
      <c r="P192" s="11">
        <f>IF(OR(M192="",M192&lt;=0),"자본잠식",ROUND(L192/M192*100,1))</f>
      </c>
      <c r="Q192" s="11">
        <f>IF(OR(M192="",M192&lt;=0),"—",ROUND(O192/M192*100,1))</f>
      </c>
    </row>
    <row r="193">
      <c r="A193" s="11" t="str">
        <f>IF(종목!A36="","",종목!A36)</f>
      </c>
      <c r="B193" s="11" t="str">
        <f>IF(종목!A36="","",종목!B36)</f>
      </c>
      <c r="C193" s="11">
        <f>IF(종목!A36="","",게임설정!$B$11)</f>
      </c>
      <c r="D193" s="7"/>
      <c r="E193" s="7"/>
      <c r="F193" s="7"/>
      <c r="G193" s="7"/>
      <c r="H193" s="7"/>
      <c r="I193" s="7"/>
      <c r="J193" s="7"/>
      <c r="K193" s="11">
        <f>IF(D193="","",D193+E193)</f>
      </c>
      <c r="L193" s="11">
        <f>IF(F193="","",F193+G193)</f>
      </c>
      <c r="M193" s="11">
        <f>IF(K193="","",K193-L193)</f>
      </c>
      <c r="N193" s="11">
        <f>IF(H193="","",H193-I193)</f>
      </c>
      <c r="O193" s="11">
        <f>IF(N193="","",N193-J193)</f>
      </c>
      <c r="P193" s="11">
        <f>IF(OR(M193="",M193&lt;=0),"자본잠식",ROUND(L193/M193*100,1))</f>
      </c>
      <c r="Q193" s="11">
        <f>IF(OR(M193="",M193&lt;=0),"—",ROUND(O193/M193*100,1))</f>
      </c>
    </row>
    <row r="194">
      <c r="A194" s="11" t="str">
        <f>IF(종목!A36="","",종목!A36)</f>
      </c>
      <c r="B194" s="11" t="str">
        <f>IF(종목!A36="","",종목!B36)</f>
      </c>
      <c r="C194" s="11">
        <f>IF(종목!A36="","",게임설정!$B$12)</f>
      </c>
      <c r="D194" s="7"/>
      <c r="E194" s="7"/>
      <c r="F194" s="7"/>
      <c r="G194" s="7"/>
      <c r="H194" s="7"/>
      <c r="I194" s="7"/>
      <c r="J194" s="7"/>
      <c r="K194" s="11">
        <f>IF(D194="","",D194+E194)</f>
      </c>
      <c r="L194" s="11">
        <f>IF(F194="","",F194+G194)</f>
      </c>
      <c r="M194" s="11">
        <f>IF(K194="","",K194-L194)</f>
      </c>
      <c r="N194" s="11">
        <f>IF(H194="","",H194-I194)</f>
      </c>
      <c r="O194" s="11">
        <f>IF(N194="","",N194-J194)</f>
      </c>
      <c r="P194" s="11">
        <f>IF(OR(M194="",M194&lt;=0),"자본잠식",ROUND(L194/M194*100,1))</f>
      </c>
      <c r="Q194" s="11">
        <f>IF(OR(M194="",M194&lt;=0),"—",ROUND(O194/M194*100,1))</f>
      </c>
    </row>
    <row r="195">
      <c r="A195" s="11" t="str">
        <f>IF(종목!A36="","",종목!A36)</f>
      </c>
      <c r="B195" s="11" t="str">
        <f>IF(종목!A36="","",종목!B36)</f>
      </c>
      <c r="C195" s="11">
        <f>IF(종목!A36="","",게임설정!$B$13)</f>
      </c>
      <c r="D195" s="7"/>
      <c r="E195" s="7"/>
      <c r="F195" s="7"/>
      <c r="G195" s="7"/>
      <c r="H195" s="7"/>
      <c r="I195" s="7"/>
      <c r="J195" s="7"/>
      <c r="K195" s="11">
        <f>IF(D195="","",D195+E195)</f>
      </c>
      <c r="L195" s="11">
        <f>IF(F195="","",F195+G195)</f>
      </c>
      <c r="M195" s="11">
        <f>IF(K195="","",K195-L195)</f>
      </c>
      <c r="N195" s="11">
        <f>IF(H195="","",H195-I195)</f>
      </c>
      <c r="O195" s="11">
        <f>IF(N195="","",N195-J195)</f>
      </c>
      <c r="P195" s="11">
        <f>IF(OR(M195="",M195&lt;=0),"자본잠식",ROUND(L195/M195*100,1))</f>
      </c>
      <c r="Q195" s="11">
        <f>IF(OR(M195="",M195&lt;=0),"—",ROUND(O195/M195*100,1))</f>
      </c>
    </row>
    <row r="196">
      <c r="A196" s="11" t="str">
        <f>IF(종목!A36="","",종목!A36)</f>
      </c>
      <c r="B196" s="11" t="str">
        <f>IF(종목!A36="","",종목!B36)</f>
      </c>
      <c r="C196" s="11">
        <f>IF(종목!A36="","",게임설정!$B$8)</f>
      </c>
      <c r="D196" s="7"/>
      <c r="E196" s="7"/>
      <c r="F196" s="7"/>
      <c r="G196" s="7"/>
      <c r="H196" s="7"/>
      <c r="I196" s="7"/>
      <c r="J196" s="7"/>
      <c r="K196" s="11">
        <f>IF(D196="","",D196+E196)</f>
      </c>
      <c r="L196" s="11">
        <f>IF(F196="","",F196+G196)</f>
      </c>
      <c r="M196" s="11">
        <f>IF(K196="","",K196-L196)</f>
      </c>
      <c r="N196" s="11">
        <f>IF(H196="","",H196-I196)</f>
      </c>
      <c r="O196" s="11">
        <f>IF(N196="","",N196-J196)</f>
      </c>
      <c r="P196" s="11">
        <f>IF(OR(M196="",M196&lt;=0),"자본잠식",ROUND(L196/M196*100,1))</f>
      </c>
      <c r="Q196" s="11">
        <f>IF(OR(M196="",M196&lt;=0),"—",ROUND(O196/M196*100,1))</f>
      </c>
    </row>
    <row r="197">
      <c r="A197" s="11" t="str">
        <f>IF(종목!A37="","",종목!A37)</f>
      </c>
      <c r="B197" s="11" t="str">
        <f>IF(종목!A37="","",종목!B37)</f>
      </c>
      <c r="C197" s="11">
        <f>IF(종목!A37="","",게임설정!$B$9)</f>
      </c>
      <c r="D197" s="7"/>
      <c r="E197" s="7"/>
      <c r="F197" s="7"/>
      <c r="G197" s="7"/>
      <c r="H197" s="7"/>
      <c r="I197" s="7"/>
      <c r="J197" s="7"/>
      <c r="K197" s="11">
        <f>IF(D197="","",D197+E197)</f>
      </c>
      <c r="L197" s="11">
        <f>IF(F197="","",F197+G197)</f>
      </c>
      <c r="M197" s="11">
        <f>IF(K197="","",K197-L197)</f>
      </c>
      <c r="N197" s="11">
        <f>IF(H197="","",H197-I197)</f>
      </c>
      <c r="O197" s="11">
        <f>IF(N197="","",N197-J197)</f>
      </c>
      <c r="P197" s="11">
        <f>IF(OR(M197="",M197&lt;=0),"자본잠식",ROUND(L197/M197*100,1))</f>
      </c>
      <c r="Q197" s="11">
        <f>IF(OR(M197="",M197&lt;=0),"—",ROUND(O197/M197*100,1))</f>
      </c>
    </row>
    <row r="198">
      <c r="A198" s="11" t="str">
        <f>IF(종목!A37="","",종목!A37)</f>
      </c>
      <c r="B198" s="11" t="str">
        <f>IF(종목!A37="","",종목!B37)</f>
      </c>
      <c r="C198" s="11">
        <f>IF(종목!A37="","",게임설정!$B$10)</f>
      </c>
      <c r="D198" s="7"/>
      <c r="E198" s="7"/>
      <c r="F198" s="7"/>
      <c r="G198" s="7"/>
      <c r="H198" s="7"/>
      <c r="I198" s="7"/>
      <c r="J198" s="7"/>
      <c r="K198" s="11">
        <f>IF(D198="","",D198+E198)</f>
      </c>
      <c r="L198" s="11">
        <f>IF(F198="","",F198+G198)</f>
      </c>
      <c r="M198" s="11">
        <f>IF(K198="","",K198-L198)</f>
      </c>
      <c r="N198" s="11">
        <f>IF(H198="","",H198-I198)</f>
      </c>
      <c r="O198" s="11">
        <f>IF(N198="","",N198-J198)</f>
      </c>
      <c r="P198" s="11">
        <f>IF(OR(M198="",M198&lt;=0),"자본잠식",ROUND(L198/M198*100,1))</f>
      </c>
      <c r="Q198" s="11">
        <f>IF(OR(M198="",M198&lt;=0),"—",ROUND(O198/M198*100,1))</f>
      </c>
    </row>
    <row r="199">
      <c r="A199" s="11" t="str">
        <f>IF(종목!A37="","",종목!A37)</f>
      </c>
      <c r="B199" s="11" t="str">
        <f>IF(종목!A37="","",종목!B37)</f>
      </c>
      <c r="C199" s="11">
        <f>IF(종목!A37="","",게임설정!$B$11)</f>
      </c>
      <c r="D199" s="7"/>
      <c r="E199" s="7"/>
      <c r="F199" s="7"/>
      <c r="G199" s="7"/>
      <c r="H199" s="7"/>
      <c r="I199" s="7"/>
      <c r="J199" s="7"/>
      <c r="K199" s="11">
        <f>IF(D199="","",D199+E199)</f>
      </c>
      <c r="L199" s="11">
        <f>IF(F199="","",F199+G199)</f>
      </c>
      <c r="M199" s="11">
        <f>IF(K199="","",K199-L199)</f>
      </c>
      <c r="N199" s="11">
        <f>IF(H199="","",H199-I199)</f>
      </c>
      <c r="O199" s="11">
        <f>IF(N199="","",N199-J199)</f>
      </c>
      <c r="P199" s="11">
        <f>IF(OR(M199="",M199&lt;=0),"자본잠식",ROUND(L199/M199*100,1))</f>
      </c>
      <c r="Q199" s="11">
        <f>IF(OR(M199="",M199&lt;=0),"—",ROUND(O199/M199*100,1))</f>
      </c>
    </row>
    <row r="200">
      <c r="A200" s="11" t="str">
        <f>IF(종목!A37="","",종목!A37)</f>
      </c>
      <c r="B200" s="11" t="str">
        <f>IF(종목!A37="","",종목!B37)</f>
      </c>
      <c r="C200" s="11">
        <f>IF(종목!A37="","",게임설정!$B$12)</f>
      </c>
      <c r="D200" s="7"/>
      <c r="E200" s="7"/>
      <c r="F200" s="7"/>
      <c r="G200" s="7"/>
      <c r="H200" s="7"/>
      <c r="I200" s="7"/>
      <c r="J200" s="7"/>
      <c r="K200" s="11">
        <f>IF(D200="","",D200+E200)</f>
      </c>
      <c r="L200" s="11">
        <f>IF(F200="","",F200+G200)</f>
      </c>
      <c r="M200" s="11">
        <f>IF(K200="","",K200-L200)</f>
      </c>
      <c r="N200" s="11">
        <f>IF(H200="","",H200-I200)</f>
      </c>
      <c r="O200" s="11">
        <f>IF(N200="","",N200-J200)</f>
      </c>
      <c r="P200" s="11">
        <f>IF(OR(M200="",M200&lt;=0),"자본잠식",ROUND(L200/M200*100,1))</f>
      </c>
      <c r="Q200" s="11">
        <f>IF(OR(M200="",M200&lt;=0),"—",ROUND(O200/M200*100,1))</f>
      </c>
    </row>
    <row r="201">
      <c r="A201" s="11" t="str">
        <f>IF(종목!A37="","",종목!A37)</f>
      </c>
      <c r="B201" s="11" t="str">
        <f>IF(종목!A37="","",종목!B37)</f>
      </c>
      <c r="C201" s="11">
        <f>IF(종목!A37="","",게임설정!$B$13)</f>
      </c>
      <c r="D201" s="7"/>
      <c r="E201" s="7"/>
      <c r="F201" s="7"/>
      <c r="G201" s="7"/>
      <c r="H201" s="7"/>
      <c r="I201" s="7"/>
      <c r="J201" s="7"/>
      <c r="K201" s="11">
        <f>IF(D201="","",D201+E201)</f>
      </c>
      <c r="L201" s="11">
        <f>IF(F201="","",F201+G201)</f>
      </c>
      <c r="M201" s="11">
        <f>IF(K201="","",K201-L201)</f>
      </c>
      <c r="N201" s="11">
        <f>IF(H201="","",H201-I201)</f>
      </c>
      <c r="O201" s="11">
        <f>IF(N201="","",N201-J201)</f>
      </c>
      <c r="P201" s="11">
        <f>IF(OR(M201="",M201&lt;=0),"자본잠식",ROUND(L201/M201*100,1))</f>
      </c>
      <c r="Q201" s="11">
        <f>IF(OR(M201="",M201&lt;=0),"—",ROUND(O201/M201*100,1))</f>
      </c>
    </row>
    <row r="202">
      <c r="A202" s="11" t="str">
        <f>IF(종목!A37="","",종목!A37)</f>
      </c>
      <c r="B202" s="11" t="str">
        <f>IF(종목!A37="","",종목!B37)</f>
      </c>
      <c r="C202" s="11">
        <f>IF(종목!A37="","",게임설정!$B$8)</f>
      </c>
      <c r="D202" s="7"/>
      <c r="E202" s="7"/>
      <c r="F202" s="7"/>
      <c r="G202" s="7"/>
      <c r="H202" s="7"/>
      <c r="I202" s="7"/>
      <c r="J202" s="7"/>
      <c r="K202" s="11">
        <f>IF(D202="","",D202+E202)</f>
      </c>
      <c r="L202" s="11">
        <f>IF(F202="","",F202+G202)</f>
      </c>
      <c r="M202" s="11">
        <f>IF(K202="","",K202-L202)</f>
      </c>
      <c r="N202" s="11">
        <f>IF(H202="","",H202-I202)</f>
      </c>
      <c r="O202" s="11">
        <f>IF(N202="","",N202-J202)</f>
      </c>
      <c r="P202" s="11">
        <f>IF(OR(M202="",M202&lt;=0),"자본잠식",ROUND(L202/M202*100,1))</f>
      </c>
      <c r="Q202" s="11">
        <f>IF(OR(M202="",M202&lt;=0),"—",ROUND(O202/M202*100,1))</f>
      </c>
    </row>
    <row r="203">
      <c r="A203" s="11" t="str">
        <f>IF(종목!A38="","",종목!A38)</f>
      </c>
      <c r="B203" s="11" t="str">
        <f>IF(종목!A38="","",종목!B38)</f>
      </c>
      <c r="C203" s="11">
        <f>IF(종목!A38="","",게임설정!$B$9)</f>
      </c>
      <c r="D203" s="7"/>
      <c r="E203" s="7"/>
      <c r="F203" s="7"/>
      <c r="G203" s="7"/>
      <c r="H203" s="7"/>
      <c r="I203" s="7"/>
      <c r="J203" s="7"/>
      <c r="K203" s="11">
        <f>IF(D203="","",D203+E203)</f>
      </c>
      <c r="L203" s="11">
        <f>IF(F203="","",F203+G203)</f>
      </c>
      <c r="M203" s="11">
        <f>IF(K203="","",K203-L203)</f>
      </c>
      <c r="N203" s="11">
        <f>IF(H203="","",H203-I203)</f>
      </c>
      <c r="O203" s="11">
        <f>IF(N203="","",N203-J203)</f>
      </c>
      <c r="P203" s="11">
        <f>IF(OR(M203="",M203&lt;=0),"자본잠식",ROUND(L203/M203*100,1))</f>
      </c>
      <c r="Q203" s="11">
        <f>IF(OR(M203="",M203&lt;=0),"—",ROUND(O203/M203*100,1))</f>
      </c>
    </row>
    <row r="204">
      <c r="A204" s="11" t="str">
        <f>IF(종목!A38="","",종목!A38)</f>
      </c>
      <c r="B204" s="11" t="str">
        <f>IF(종목!A38="","",종목!B38)</f>
      </c>
      <c r="C204" s="11">
        <f>IF(종목!A38="","",게임설정!$B$10)</f>
      </c>
      <c r="D204" s="7"/>
      <c r="E204" s="7"/>
      <c r="F204" s="7"/>
      <c r="G204" s="7"/>
      <c r="H204" s="7"/>
      <c r="I204" s="7"/>
      <c r="J204" s="7"/>
      <c r="K204" s="11">
        <f>IF(D204="","",D204+E204)</f>
      </c>
      <c r="L204" s="11">
        <f>IF(F204="","",F204+G204)</f>
      </c>
      <c r="M204" s="11">
        <f>IF(K204="","",K204-L204)</f>
      </c>
      <c r="N204" s="11">
        <f>IF(H204="","",H204-I204)</f>
      </c>
      <c r="O204" s="11">
        <f>IF(N204="","",N204-J204)</f>
      </c>
      <c r="P204" s="11">
        <f>IF(OR(M204="",M204&lt;=0),"자본잠식",ROUND(L204/M204*100,1))</f>
      </c>
      <c r="Q204" s="11">
        <f>IF(OR(M204="",M204&lt;=0),"—",ROUND(O204/M204*100,1))</f>
      </c>
    </row>
    <row r="205">
      <c r="A205" s="11" t="str">
        <f>IF(종목!A38="","",종목!A38)</f>
      </c>
      <c r="B205" s="11" t="str">
        <f>IF(종목!A38="","",종목!B38)</f>
      </c>
      <c r="C205" s="11">
        <f>IF(종목!A38="","",게임설정!$B$11)</f>
      </c>
      <c r="D205" s="7"/>
      <c r="E205" s="7"/>
      <c r="F205" s="7"/>
      <c r="G205" s="7"/>
      <c r="H205" s="7"/>
      <c r="I205" s="7"/>
      <c r="J205" s="7"/>
      <c r="K205" s="11">
        <f>IF(D205="","",D205+E205)</f>
      </c>
      <c r="L205" s="11">
        <f>IF(F205="","",F205+G205)</f>
      </c>
      <c r="M205" s="11">
        <f>IF(K205="","",K205-L205)</f>
      </c>
      <c r="N205" s="11">
        <f>IF(H205="","",H205-I205)</f>
      </c>
      <c r="O205" s="11">
        <f>IF(N205="","",N205-J205)</f>
      </c>
      <c r="P205" s="11">
        <f>IF(OR(M205="",M205&lt;=0),"자본잠식",ROUND(L205/M205*100,1))</f>
      </c>
      <c r="Q205" s="11">
        <f>IF(OR(M205="",M205&lt;=0),"—",ROUND(O205/M205*100,1))</f>
      </c>
    </row>
    <row r="206">
      <c r="A206" s="11" t="str">
        <f>IF(종목!A38="","",종목!A38)</f>
      </c>
      <c r="B206" s="11" t="str">
        <f>IF(종목!A38="","",종목!B38)</f>
      </c>
      <c r="C206" s="11">
        <f>IF(종목!A38="","",게임설정!$B$12)</f>
      </c>
      <c r="D206" s="7"/>
      <c r="E206" s="7"/>
      <c r="F206" s="7"/>
      <c r="G206" s="7"/>
      <c r="H206" s="7"/>
      <c r="I206" s="7"/>
      <c r="J206" s="7"/>
      <c r="K206" s="11">
        <f>IF(D206="","",D206+E206)</f>
      </c>
      <c r="L206" s="11">
        <f>IF(F206="","",F206+G206)</f>
      </c>
      <c r="M206" s="11">
        <f>IF(K206="","",K206-L206)</f>
      </c>
      <c r="N206" s="11">
        <f>IF(H206="","",H206-I206)</f>
      </c>
      <c r="O206" s="11">
        <f>IF(N206="","",N206-J206)</f>
      </c>
      <c r="P206" s="11">
        <f>IF(OR(M206="",M206&lt;=0),"자본잠식",ROUND(L206/M206*100,1))</f>
      </c>
      <c r="Q206" s="11">
        <f>IF(OR(M206="",M206&lt;=0),"—",ROUND(O206/M206*100,1))</f>
      </c>
    </row>
    <row r="207">
      <c r="A207" s="11" t="str">
        <f>IF(종목!A38="","",종목!A38)</f>
      </c>
      <c r="B207" s="11" t="str">
        <f>IF(종목!A38="","",종목!B38)</f>
      </c>
      <c r="C207" s="11">
        <f>IF(종목!A38="","",게임설정!$B$13)</f>
      </c>
      <c r="D207" s="7"/>
      <c r="E207" s="7"/>
      <c r="F207" s="7"/>
      <c r="G207" s="7"/>
      <c r="H207" s="7"/>
      <c r="I207" s="7"/>
      <c r="J207" s="7"/>
      <c r="K207" s="11">
        <f>IF(D207="","",D207+E207)</f>
      </c>
      <c r="L207" s="11">
        <f>IF(F207="","",F207+G207)</f>
      </c>
      <c r="M207" s="11">
        <f>IF(K207="","",K207-L207)</f>
      </c>
      <c r="N207" s="11">
        <f>IF(H207="","",H207-I207)</f>
      </c>
      <c r="O207" s="11">
        <f>IF(N207="","",N207-J207)</f>
      </c>
      <c r="P207" s="11">
        <f>IF(OR(M207="",M207&lt;=0),"자본잠식",ROUND(L207/M207*100,1))</f>
      </c>
      <c r="Q207" s="11">
        <f>IF(OR(M207="",M207&lt;=0),"—",ROUND(O207/M207*100,1))</f>
      </c>
    </row>
    <row r="208">
      <c r="A208" s="11" t="str">
        <f>IF(종목!A38="","",종목!A38)</f>
      </c>
      <c r="B208" s="11" t="str">
        <f>IF(종목!A38="","",종목!B38)</f>
      </c>
      <c r="C208" s="11">
        <f>IF(종목!A38="","",게임설정!$B$8)</f>
      </c>
      <c r="D208" s="7"/>
      <c r="E208" s="7"/>
      <c r="F208" s="7"/>
      <c r="G208" s="7"/>
      <c r="H208" s="7"/>
      <c r="I208" s="7"/>
      <c r="J208" s="7"/>
      <c r="K208" s="11">
        <f>IF(D208="","",D208+E208)</f>
      </c>
      <c r="L208" s="11">
        <f>IF(F208="","",F208+G208)</f>
      </c>
      <c r="M208" s="11">
        <f>IF(K208="","",K208-L208)</f>
      </c>
      <c r="N208" s="11">
        <f>IF(H208="","",H208-I208)</f>
      </c>
      <c r="O208" s="11">
        <f>IF(N208="","",N208-J208)</f>
      </c>
      <c r="P208" s="11">
        <f>IF(OR(M208="",M208&lt;=0),"자본잠식",ROUND(L208/M208*100,1))</f>
      </c>
      <c r="Q208" s="11">
        <f>IF(OR(M208="",M208&lt;=0),"—",ROUND(O208/M208*100,1))</f>
      </c>
    </row>
    <row r="209">
      <c r="A209" s="11" t="str">
        <f>IF(종목!A39="","",종목!A39)</f>
      </c>
      <c r="B209" s="11" t="str">
        <f>IF(종목!A39="","",종목!B39)</f>
      </c>
      <c r="C209" s="11">
        <f>IF(종목!A39="","",게임설정!$B$9)</f>
      </c>
      <c r="D209" s="7"/>
      <c r="E209" s="7"/>
      <c r="F209" s="7"/>
      <c r="G209" s="7"/>
      <c r="H209" s="7"/>
      <c r="I209" s="7"/>
      <c r="J209" s="7"/>
      <c r="K209" s="11">
        <f>IF(D209="","",D209+E209)</f>
      </c>
      <c r="L209" s="11">
        <f>IF(F209="","",F209+G209)</f>
      </c>
      <c r="M209" s="11">
        <f>IF(K209="","",K209-L209)</f>
      </c>
      <c r="N209" s="11">
        <f>IF(H209="","",H209-I209)</f>
      </c>
      <c r="O209" s="11">
        <f>IF(N209="","",N209-J209)</f>
      </c>
      <c r="P209" s="11">
        <f>IF(OR(M209="",M209&lt;=0),"자본잠식",ROUND(L209/M209*100,1))</f>
      </c>
      <c r="Q209" s="11">
        <f>IF(OR(M209="",M209&lt;=0),"—",ROUND(O209/M209*100,1))</f>
      </c>
    </row>
    <row r="210">
      <c r="A210" s="11" t="str">
        <f>IF(종목!A39="","",종목!A39)</f>
      </c>
      <c r="B210" s="11" t="str">
        <f>IF(종목!A39="","",종목!B39)</f>
      </c>
      <c r="C210" s="11">
        <f>IF(종목!A39="","",게임설정!$B$10)</f>
      </c>
      <c r="D210" s="7"/>
      <c r="E210" s="7"/>
      <c r="F210" s="7"/>
      <c r="G210" s="7"/>
      <c r="H210" s="7"/>
      <c r="I210" s="7"/>
      <c r="J210" s="7"/>
      <c r="K210" s="11">
        <f>IF(D210="","",D210+E210)</f>
      </c>
      <c r="L210" s="11">
        <f>IF(F210="","",F210+G210)</f>
      </c>
      <c r="M210" s="11">
        <f>IF(K210="","",K210-L210)</f>
      </c>
      <c r="N210" s="11">
        <f>IF(H210="","",H210-I210)</f>
      </c>
      <c r="O210" s="11">
        <f>IF(N210="","",N210-J210)</f>
      </c>
      <c r="P210" s="11">
        <f>IF(OR(M210="",M210&lt;=0),"자본잠식",ROUND(L210/M210*100,1))</f>
      </c>
      <c r="Q210" s="11">
        <f>IF(OR(M210="",M210&lt;=0),"—",ROUND(O210/M210*100,1))</f>
      </c>
    </row>
    <row r="211">
      <c r="A211" s="11" t="str">
        <f>IF(종목!A39="","",종목!A39)</f>
      </c>
      <c r="B211" s="11" t="str">
        <f>IF(종목!A39="","",종목!B39)</f>
      </c>
      <c r="C211" s="11">
        <f>IF(종목!A39="","",게임설정!$B$11)</f>
      </c>
      <c r="D211" s="7"/>
      <c r="E211" s="7"/>
      <c r="F211" s="7"/>
      <c r="G211" s="7"/>
      <c r="H211" s="7"/>
      <c r="I211" s="7"/>
      <c r="J211" s="7"/>
      <c r="K211" s="11">
        <f>IF(D211="","",D211+E211)</f>
      </c>
      <c r="L211" s="11">
        <f>IF(F211="","",F211+G211)</f>
      </c>
      <c r="M211" s="11">
        <f>IF(K211="","",K211-L211)</f>
      </c>
      <c r="N211" s="11">
        <f>IF(H211="","",H211-I211)</f>
      </c>
      <c r="O211" s="11">
        <f>IF(N211="","",N211-J211)</f>
      </c>
      <c r="P211" s="11">
        <f>IF(OR(M211="",M211&lt;=0),"자본잠식",ROUND(L211/M211*100,1))</f>
      </c>
      <c r="Q211" s="11">
        <f>IF(OR(M211="",M211&lt;=0),"—",ROUND(O211/M211*100,1))</f>
      </c>
    </row>
    <row r="212">
      <c r="A212" s="11" t="str">
        <f>IF(종목!A39="","",종목!A39)</f>
      </c>
      <c r="B212" s="11" t="str">
        <f>IF(종목!A39="","",종목!B39)</f>
      </c>
      <c r="C212" s="11">
        <f>IF(종목!A39="","",게임설정!$B$12)</f>
      </c>
      <c r="D212" s="7"/>
      <c r="E212" s="7"/>
      <c r="F212" s="7"/>
      <c r="G212" s="7"/>
      <c r="H212" s="7"/>
      <c r="I212" s="7"/>
      <c r="J212" s="7"/>
      <c r="K212" s="11">
        <f>IF(D212="","",D212+E212)</f>
      </c>
      <c r="L212" s="11">
        <f>IF(F212="","",F212+G212)</f>
      </c>
      <c r="M212" s="11">
        <f>IF(K212="","",K212-L212)</f>
      </c>
      <c r="N212" s="11">
        <f>IF(H212="","",H212-I212)</f>
      </c>
      <c r="O212" s="11">
        <f>IF(N212="","",N212-J212)</f>
      </c>
      <c r="P212" s="11">
        <f>IF(OR(M212="",M212&lt;=0),"자본잠식",ROUND(L212/M212*100,1))</f>
      </c>
      <c r="Q212" s="11">
        <f>IF(OR(M212="",M212&lt;=0),"—",ROUND(O212/M212*100,1))</f>
      </c>
    </row>
    <row r="213">
      <c r="A213" s="11" t="str">
        <f>IF(종목!A39="","",종목!A39)</f>
      </c>
      <c r="B213" s="11" t="str">
        <f>IF(종목!A39="","",종목!B39)</f>
      </c>
      <c r="C213" s="11">
        <f>IF(종목!A39="","",게임설정!$B$13)</f>
      </c>
      <c r="D213" s="7"/>
      <c r="E213" s="7"/>
      <c r="F213" s="7"/>
      <c r="G213" s="7"/>
      <c r="H213" s="7"/>
      <c r="I213" s="7"/>
      <c r="J213" s="7"/>
      <c r="K213" s="11">
        <f>IF(D213="","",D213+E213)</f>
      </c>
      <c r="L213" s="11">
        <f>IF(F213="","",F213+G213)</f>
      </c>
      <c r="M213" s="11">
        <f>IF(K213="","",K213-L213)</f>
      </c>
      <c r="N213" s="11">
        <f>IF(H213="","",H213-I213)</f>
      </c>
      <c r="O213" s="11">
        <f>IF(N213="","",N213-J213)</f>
      </c>
      <c r="P213" s="11">
        <f>IF(OR(M213="",M213&lt;=0),"자본잠식",ROUND(L213/M213*100,1))</f>
      </c>
      <c r="Q213" s="11">
        <f>IF(OR(M213="",M213&lt;=0),"—",ROUND(O213/M213*100,1))</f>
      </c>
    </row>
    <row r="214">
      <c r="A214" s="11" t="str">
        <f>IF(종목!A39="","",종목!A39)</f>
      </c>
      <c r="B214" s="11" t="str">
        <f>IF(종목!A39="","",종목!B39)</f>
      </c>
      <c r="C214" s="11">
        <f>IF(종목!A39="","",게임설정!$B$8)</f>
      </c>
      <c r="D214" s="7"/>
      <c r="E214" s="7"/>
      <c r="F214" s="7"/>
      <c r="G214" s="7"/>
      <c r="H214" s="7"/>
      <c r="I214" s="7"/>
      <c r="J214" s="7"/>
      <c r="K214" s="11">
        <f>IF(D214="","",D214+E214)</f>
      </c>
      <c r="L214" s="11">
        <f>IF(F214="","",F214+G214)</f>
      </c>
      <c r="M214" s="11">
        <f>IF(K214="","",K214-L214)</f>
      </c>
      <c r="N214" s="11">
        <f>IF(H214="","",H214-I214)</f>
      </c>
      <c r="O214" s="11">
        <f>IF(N214="","",N214-J214)</f>
      </c>
      <c r="P214" s="11">
        <f>IF(OR(M214="",M214&lt;=0),"자본잠식",ROUND(L214/M214*100,1))</f>
      </c>
      <c r="Q214" s="11">
        <f>IF(OR(M214="",M214&lt;=0),"—",ROUND(O214/M214*100,1))</f>
      </c>
    </row>
    <row r="215">
      <c r="A215" s="11" t="str">
        <f>IF(종목!A40="","",종목!A40)</f>
      </c>
      <c r="B215" s="11" t="str">
        <f>IF(종목!A40="","",종목!B40)</f>
      </c>
      <c r="C215" s="11">
        <f>IF(종목!A40="","",게임설정!$B$9)</f>
      </c>
      <c r="D215" s="7"/>
      <c r="E215" s="7"/>
      <c r="F215" s="7"/>
      <c r="G215" s="7"/>
      <c r="H215" s="7"/>
      <c r="I215" s="7"/>
      <c r="J215" s="7"/>
      <c r="K215" s="11">
        <f>IF(D215="","",D215+E215)</f>
      </c>
      <c r="L215" s="11">
        <f>IF(F215="","",F215+G215)</f>
      </c>
      <c r="M215" s="11">
        <f>IF(K215="","",K215-L215)</f>
      </c>
      <c r="N215" s="11">
        <f>IF(H215="","",H215-I215)</f>
      </c>
      <c r="O215" s="11">
        <f>IF(N215="","",N215-J215)</f>
      </c>
      <c r="P215" s="11">
        <f>IF(OR(M215="",M215&lt;=0),"자본잠식",ROUND(L215/M215*100,1))</f>
      </c>
      <c r="Q215" s="11">
        <f>IF(OR(M215="",M215&lt;=0),"—",ROUND(O215/M215*100,1))</f>
      </c>
    </row>
    <row r="216">
      <c r="A216" s="11" t="str">
        <f>IF(종목!A40="","",종목!A40)</f>
      </c>
      <c r="B216" s="11" t="str">
        <f>IF(종목!A40="","",종목!B40)</f>
      </c>
      <c r="C216" s="11">
        <f>IF(종목!A40="","",게임설정!$B$10)</f>
      </c>
      <c r="D216" s="7"/>
      <c r="E216" s="7"/>
      <c r="F216" s="7"/>
      <c r="G216" s="7"/>
      <c r="H216" s="7"/>
      <c r="I216" s="7"/>
      <c r="J216" s="7"/>
      <c r="K216" s="11">
        <f>IF(D216="","",D216+E216)</f>
      </c>
      <c r="L216" s="11">
        <f>IF(F216="","",F216+G216)</f>
      </c>
      <c r="M216" s="11">
        <f>IF(K216="","",K216-L216)</f>
      </c>
      <c r="N216" s="11">
        <f>IF(H216="","",H216-I216)</f>
      </c>
      <c r="O216" s="11">
        <f>IF(N216="","",N216-J216)</f>
      </c>
      <c r="P216" s="11">
        <f>IF(OR(M216="",M216&lt;=0),"자본잠식",ROUND(L216/M216*100,1))</f>
      </c>
      <c r="Q216" s="11">
        <f>IF(OR(M216="",M216&lt;=0),"—",ROUND(O216/M216*100,1))</f>
      </c>
    </row>
    <row r="217">
      <c r="A217" s="11" t="str">
        <f>IF(종목!A40="","",종목!A40)</f>
      </c>
      <c r="B217" s="11" t="str">
        <f>IF(종목!A40="","",종목!B40)</f>
      </c>
      <c r="C217" s="11">
        <f>IF(종목!A40="","",게임설정!$B$11)</f>
      </c>
      <c r="D217" s="7"/>
      <c r="E217" s="7"/>
      <c r="F217" s="7"/>
      <c r="G217" s="7"/>
      <c r="H217" s="7"/>
      <c r="I217" s="7"/>
      <c r="J217" s="7"/>
      <c r="K217" s="11">
        <f>IF(D217="","",D217+E217)</f>
      </c>
      <c r="L217" s="11">
        <f>IF(F217="","",F217+G217)</f>
      </c>
      <c r="M217" s="11">
        <f>IF(K217="","",K217-L217)</f>
      </c>
      <c r="N217" s="11">
        <f>IF(H217="","",H217-I217)</f>
      </c>
      <c r="O217" s="11">
        <f>IF(N217="","",N217-J217)</f>
      </c>
      <c r="P217" s="11">
        <f>IF(OR(M217="",M217&lt;=0),"자본잠식",ROUND(L217/M217*100,1))</f>
      </c>
      <c r="Q217" s="11">
        <f>IF(OR(M217="",M217&lt;=0),"—",ROUND(O217/M217*100,1))</f>
      </c>
    </row>
    <row r="218">
      <c r="A218" s="11" t="str">
        <f>IF(종목!A40="","",종목!A40)</f>
      </c>
      <c r="B218" s="11" t="str">
        <f>IF(종목!A40="","",종목!B40)</f>
      </c>
      <c r="C218" s="11">
        <f>IF(종목!A40="","",게임설정!$B$12)</f>
      </c>
      <c r="D218" s="7"/>
      <c r="E218" s="7"/>
      <c r="F218" s="7"/>
      <c r="G218" s="7"/>
      <c r="H218" s="7"/>
      <c r="I218" s="7"/>
      <c r="J218" s="7"/>
      <c r="K218" s="11">
        <f>IF(D218="","",D218+E218)</f>
      </c>
      <c r="L218" s="11">
        <f>IF(F218="","",F218+G218)</f>
      </c>
      <c r="M218" s="11">
        <f>IF(K218="","",K218-L218)</f>
      </c>
      <c r="N218" s="11">
        <f>IF(H218="","",H218-I218)</f>
      </c>
      <c r="O218" s="11">
        <f>IF(N218="","",N218-J218)</f>
      </c>
      <c r="P218" s="11">
        <f>IF(OR(M218="",M218&lt;=0),"자본잠식",ROUND(L218/M218*100,1))</f>
      </c>
      <c r="Q218" s="11">
        <f>IF(OR(M218="",M218&lt;=0),"—",ROUND(O218/M218*100,1))</f>
      </c>
    </row>
    <row r="219">
      <c r="A219" s="11" t="str">
        <f>IF(종목!A40="","",종목!A40)</f>
      </c>
      <c r="B219" s="11" t="str">
        <f>IF(종목!A40="","",종목!B40)</f>
      </c>
      <c r="C219" s="11">
        <f>IF(종목!A40="","",게임설정!$B$13)</f>
      </c>
      <c r="D219" s="7"/>
      <c r="E219" s="7"/>
      <c r="F219" s="7"/>
      <c r="G219" s="7"/>
      <c r="H219" s="7"/>
      <c r="I219" s="7"/>
      <c r="J219" s="7"/>
      <c r="K219" s="11">
        <f>IF(D219="","",D219+E219)</f>
      </c>
      <c r="L219" s="11">
        <f>IF(F219="","",F219+G219)</f>
      </c>
      <c r="M219" s="11">
        <f>IF(K219="","",K219-L219)</f>
      </c>
      <c r="N219" s="11">
        <f>IF(H219="","",H219-I219)</f>
      </c>
      <c r="O219" s="11">
        <f>IF(N219="","",N219-J219)</f>
      </c>
      <c r="P219" s="11">
        <f>IF(OR(M219="",M219&lt;=0),"자본잠식",ROUND(L219/M219*100,1))</f>
      </c>
      <c r="Q219" s="11">
        <f>IF(OR(M219="",M219&lt;=0),"—",ROUND(O219/M219*100,1))</f>
      </c>
    </row>
    <row r="220">
      <c r="A220" s="11" t="str">
        <f>IF(종목!A40="","",종목!A40)</f>
      </c>
      <c r="B220" s="11" t="str">
        <f>IF(종목!A40="","",종목!B40)</f>
      </c>
      <c r="C220" s="11">
        <f>IF(종목!A40="","",게임설정!$B$8)</f>
      </c>
      <c r="D220" s="7"/>
      <c r="E220" s="7"/>
      <c r="F220" s="7"/>
      <c r="G220" s="7"/>
      <c r="H220" s="7"/>
      <c r="I220" s="7"/>
      <c r="J220" s="7"/>
      <c r="K220" s="11">
        <f>IF(D220="","",D220+E220)</f>
      </c>
      <c r="L220" s="11">
        <f>IF(F220="","",F220+G220)</f>
      </c>
      <c r="M220" s="11">
        <f>IF(K220="","",K220-L220)</f>
      </c>
      <c r="N220" s="11">
        <f>IF(H220="","",H220-I220)</f>
      </c>
      <c r="O220" s="11">
        <f>IF(N220="","",N220-J220)</f>
      </c>
      <c r="P220" s="11">
        <f>IF(OR(M220="",M220&lt;=0),"자본잠식",ROUND(L220/M220*100,1))</f>
      </c>
      <c r="Q220" s="11">
        <f>IF(OR(M220="",M220&lt;=0),"—",ROUND(O220/M220*100,1))</f>
      </c>
    </row>
    <row r="221">
      <c r="A221" s="11" t="str">
        <f>IF(종목!A41="","",종목!A41)</f>
      </c>
      <c r="B221" s="11" t="str">
        <f>IF(종목!A41="","",종목!B41)</f>
      </c>
      <c r="C221" s="11">
        <f>IF(종목!A41="","",게임설정!$B$9)</f>
      </c>
      <c r="D221" s="7"/>
      <c r="E221" s="7"/>
      <c r="F221" s="7"/>
      <c r="G221" s="7"/>
      <c r="H221" s="7"/>
      <c r="I221" s="7"/>
      <c r="J221" s="7"/>
      <c r="K221" s="11">
        <f>IF(D221="","",D221+E221)</f>
      </c>
      <c r="L221" s="11">
        <f>IF(F221="","",F221+G221)</f>
      </c>
      <c r="M221" s="11">
        <f>IF(K221="","",K221-L221)</f>
      </c>
      <c r="N221" s="11">
        <f>IF(H221="","",H221-I221)</f>
      </c>
      <c r="O221" s="11">
        <f>IF(N221="","",N221-J221)</f>
      </c>
      <c r="P221" s="11">
        <f>IF(OR(M221="",M221&lt;=0),"자본잠식",ROUND(L221/M221*100,1))</f>
      </c>
      <c r="Q221" s="11">
        <f>IF(OR(M221="",M221&lt;=0),"—",ROUND(O221/M221*100,1))</f>
      </c>
    </row>
    <row r="222">
      <c r="A222" s="11" t="str">
        <f>IF(종목!A41="","",종목!A41)</f>
      </c>
      <c r="B222" s="11" t="str">
        <f>IF(종목!A41="","",종목!B41)</f>
      </c>
      <c r="C222" s="11">
        <f>IF(종목!A41="","",게임설정!$B$10)</f>
      </c>
      <c r="D222" s="7"/>
      <c r="E222" s="7"/>
      <c r="F222" s="7"/>
      <c r="G222" s="7"/>
      <c r="H222" s="7"/>
      <c r="I222" s="7"/>
      <c r="J222" s="7"/>
      <c r="K222" s="11">
        <f>IF(D222="","",D222+E222)</f>
      </c>
      <c r="L222" s="11">
        <f>IF(F222="","",F222+G222)</f>
      </c>
      <c r="M222" s="11">
        <f>IF(K222="","",K222-L222)</f>
      </c>
      <c r="N222" s="11">
        <f>IF(H222="","",H222-I222)</f>
      </c>
      <c r="O222" s="11">
        <f>IF(N222="","",N222-J222)</f>
      </c>
      <c r="P222" s="11">
        <f>IF(OR(M222="",M222&lt;=0),"자본잠식",ROUND(L222/M222*100,1))</f>
      </c>
      <c r="Q222" s="11">
        <f>IF(OR(M222="",M222&lt;=0),"—",ROUND(O222/M222*100,1))</f>
      </c>
    </row>
    <row r="223">
      <c r="A223" s="11" t="str">
        <f>IF(종목!A41="","",종목!A41)</f>
      </c>
      <c r="B223" s="11" t="str">
        <f>IF(종목!A41="","",종목!B41)</f>
      </c>
      <c r="C223" s="11">
        <f>IF(종목!A41="","",게임설정!$B$11)</f>
      </c>
      <c r="D223" s="7"/>
      <c r="E223" s="7"/>
      <c r="F223" s="7"/>
      <c r="G223" s="7"/>
      <c r="H223" s="7"/>
      <c r="I223" s="7"/>
      <c r="J223" s="7"/>
      <c r="K223" s="11">
        <f>IF(D223="","",D223+E223)</f>
      </c>
      <c r="L223" s="11">
        <f>IF(F223="","",F223+G223)</f>
      </c>
      <c r="M223" s="11">
        <f>IF(K223="","",K223-L223)</f>
      </c>
      <c r="N223" s="11">
        <f>IF(H223="","",H223-I223)</f>
      </c>
      <c r="O223" s="11">
        <f>IF(N223="","",N223-J223)</f>
      </c>
      <c r="P223" s="11">
        <f>IF(OR(M223="",M223&lt;=0),"자본잠식",ROUND(L223/M223*100,1))</f>
      </c>
      <c r="Q223" s="11">
        <f>IF(OR(M223="",M223&lt;=0),"—",ROUND(O223/M223*100,1))</f>
      </c>
    </row>
    <row r="224">
      <c r="A224" s="11" t="str">
        <f>IF(종목!A41="","",종목!A41)</f>
      </c>
      <c r="B224" s="11" t="str">
        <f>IF(종목!A41="","",종목!B41)</f>
      </c>
      <c r="C224" s="11">
        <f>IF(종목!A41="","",게임설정!$B$12)</f>
      </c>
      <c r="D224" s="7"/>
      <c r="E224" s="7"/>
      <c r="F224" s="7"/>
      <c r="G224" s="7"/>
      <c r="H224" s="7"/>
      <c r="I224" s="7"/>
      <c r="J224" s="7"/>
      <c r="K224" s="11">
        <f>IF(D224="","",D224+E224)</f>
      </c>
      <c r="L224" s="11">
        <f>IF(F224="","",F224+G224)</f>
      </c>
      <c r="M224" s="11">
        <f>IF(K224="","",K224-L224)</f>
      </c>
      <c r="N224" s="11">
        <f>IF(H224="","",H224-I224)</f>
      </c>
      <c r="O224" s="11">
        <f>IF(N224="","",N224-J224)</f>
      </c>
      <c r="P224" s="11">
        <f>IF(OR(M224="",M224&lt;=0),"자본잠식",ROUND(L224/M224*100,1))</f>
      </c>
      <c r="Q224" s="11">
        <f>IF(OR(M224="",M224&lt;=0),"—",ROUND(O224/M224*100,1))</f>
      </c>
    </row>
    <row r="225">
      <c r="A225" s="11" t="str">
        <f>IF(종목!A41="","",종목!A41)</f>
      </c>
      <c r="B225" s="11" t="str">
        <f>IF(종목!A41="","",종목!B41)</f>
      </c>
      <c r="C225" s="11">
        <f>IF(종목!A41="","",게임설정!$B$13)</f>
      </c>
      <c r="D225" s="7"/>
      <c r="E225" s="7"/>
      <c r="F225" s="7"/>
      <c r="G225" s="7"/>
      <c r="H225" s="7"/>
      <c r="I225" s="7"/>
      <c r="J225" s="7"/>
      <c r="K225" s="11">
        <f>IF(D225="","",D225+E225)</f>
      </c>
      <c r="L225" s="11">
        <f>IF(F225="","",F225+G225)</f>
      </c>
      <c r="M225" s="11">
        <f>IF(K225="","",K225-L225)</f>
      </c>
      <c r="N225" s="11">
        <f>IF(H225="","",H225-I225)</f>
      </c>
      <c r="O225" s="11">
        <f>IF(N225="","",N225-J225)</f>
      </c>
      <c r="P225" s="11">
        <f>IF(OR(M225="",M225&lt;=0),"자본잠식",ROUND(L225/M225*100,1))</f>
      </c>
      <c r="Q225" s="11">
        <f>IF(OR(M225="",M225&lt;=0),"—",ROUND(O225/M225*100,1))</f>
      </c>
    </row>
    <row r="226">
      <c r="A226" s="11" t="str">
        <f>IF(종목!A41="","",종목!A41)</f>
      </c>
      <c r="B226" s="11" t="str">
        <f>IF(종목!A41="","",종목!B41)</f>
      </c>
      <c r="C226" s="11">
        <f>IF(종목!A41="","",게임설정!$B$8)</f>
      </c>
      <c r="D226" s="7"/>
      <c r="E226" s="7"/>
      <c r="F226" s="7"/>
      <c r="G226" s="7"/>
      <c r="H226" s="7"/>
      <c r="I226" s="7"/>
      <c r="J226" s="7"/>
      <c r="K226" s="11">
        <f>IF(D226="","",D226+E226)</f>
      </c>
      <c r="L226" s="11">
        <f>IF(F226="","",F226+G226)</f>
      </c>
      <c r="M226" s="11">
        <f>IF(K226="","",K226-L226)</f>
      </c>
      <c r="N226" s="11">
        <f>IF(H226="","",H226-I226)</f>
      </c>
      <c r="O226" s="11">
        <f>IF(N226="","",N226-J226)</f>
      </c>
      <c r="P226" s="11">
        <f>IF(OR(M226="",M226&lt;=0),"자본잠식",ROUND(L226/M226*100,1))</f>
      </c>
      <c r="Q226" s="11">
        <f>IF(OR(M226="",M226&lt;=0),"—",ROUND(O226/M226*100,1))</f>
      </c>
    </row>
    <row r="227">
      <c r="A227" s="11" t="str">
        <f>IF(종목!A42="","",종목!A42)</f>
      </c>
      <c r="B227" s="11" t="str">
        <f>IF(종목!A42="","",종목!B42)</f>
      </c>
      <c r="C227" s="11">
        <f>IF(종목!A42="","",게임설정!$B$9)</f>
      </c>
      <c r="D227" s="7"/>
      <c r="E227" s="7"/>
      <c r="F227" s="7"/>
      <c r="G227" s="7"/>
      <c r="H227" s="7"/>
      <c r="I227" s="7"/>
      <c r="J227" s="7"/>
      <c r="K227" s="11">
        <f>IF(D227="","",D227+E227)</f>
      </c>
      <c r="L227" s="11">
        <f>IF(F227="","",F227+G227)</f>
      </c>
      <c r="M227" s="11">
        <f>IF(K227="","",K227-L227)</f>
      </c>
      <c r="N227" s="11">
        <f>IF(H227="","",H227-I227)</f>
      </c>
      <c r="O227" s="11">
        <f>IF(N227="","",N227-J227)</f>
      </c>
      <c r="P227" s="11">
        <f>IF(OR(M227="",M227&lt;=0),"자본잠식",ROUND(L227/M227*100,1))</f>
      </c>
      <c r="Q227" s="11">
        <f>IF(OR(M227="",M227&lt;=0),"—",ROUND(O227/M227*100,1))</f>
      </c>
    </row>
    <row r="228">
      <c r="A228" s="11" t="str">
        <f>IF(종목!A42="","",종목!A42)</f>
      </c>
      <c r="B228" s="11" t="str">
        <f>IF(종목!A42="","",종목!B42)</f>
      </c>
      <c r="C228" s="11">
        <f>IF(종목!A42="","",게임설정!$B$10)</f>
      </c>
      <c r="D228" s="7"/>
      <c r="E228" s="7"/>
      <c r="F228" s="7"/>
      <c r="G228" s="7"/>
      <c r="H228" s="7"/>
      <c r="I228" s="7"/>
      <c r="J228" s="7"/>
      <c r="K228" s="11">
        <f>IF(D228="","",D228+E228)</f>
      </c>
      <c r="L228" s="11">
        <f>IF(F228="","",F228+G228)</f>
      </c>
      <c r="M228" s="11">
        <f>IF(K228="","",K228-L228)</f>
      </c>
      <c r="N228" s="11">
        <f>IF(H228="","",H228-I228)</f>
      </c>
      <c r="O228" s="11">
        <f>IF(N228="","",N228-J228)</f>
      </c>
      <c r="P228" s="11">
        <f>IF(OR(M228="",M228&lt;=0),"자본잠식",ROUND(L228/M228*100,1))</f>
      </c>
      <c r="Q228" s="11">
        <f>IF(OR(M228="",M228&lt;=0),"—",ROUND(O228/M228*100,1))</f>
      </c>
    </row>
    <row r="229">
      <c r="A229" s="11" t="str">
        <f>IF(종목!A42="","",종목!A42)</f>
      </c>
      <c r="B229" s="11" t="str">
        <f>IF(종목!A42="","",종목!B42)</f>
      </c>
      <c r="C229" s="11">
        <f>IF(종목!A42="","",게임설정!$B$11)</f>
      </c>
      <c r="D229" s="7"/>
      <c r="E229" s="7"/>
      <c r="F229" s="7"/>
      <c r="G229" s="7"/>
      <c r="H229" s="7"/>
      <c r="I229" s="7"/>
      <c r="J229" s="7"/>
      <c r="K229" s="11">
        <f>IF(D229="","",D229+E229)</f>
      </c>
      <c r="L229" s="11">
        <f>IF(F229="","",F229+G229)</f>
      </c>
      <c r="M229" s="11">
        <f>IF(K229="","",K229-L229)</f>
      </c>
      <c r="N229" s="11">
        <f>IF(H229="","",H229-I229)</f>
      </c>
      <c r="O229" s="11">
        <f>IF(N229="","",N229-J229)</f>
      </c>
      <c r="P229" s="11">
        <f>IF(OR(M229="",M229&lt;=0),"자본잠식",ROUND(L229/M229*100,1))</f>
      </c>
      <c r="Q229" s="11">
        <f>IF(OR(M229="",M229&lt;=0),"—",ROUND(O229/M229*100,1))</f>
      </c>
    </row>
    <row r="230">
      <c r="A230" s="11" t="str">
        <f>IF(종목!A42="","",종목!A42)</f>
      </c>
      <c r="B230" s="11" t="str">
        <f>IF(종목!A42="","",종목!B42)</f>
      </c>
      <c r="C230" s="11">
        <f>IF(종목!A42="","",게임설정!$B$12)</f>
      </c>
      <c r="D230" s="7"/>
      <c r="E230" s="7"/>
      <c r="F230" s="7"/>
      <c r="G230" s="7"/>
      <c r="H230" s="7"/>
      <c r="I230" s="7"/>
      <c r="J230" s="7"/>
      <c r="K230" s="11">
        <f>IF(D230="","",D230+E230)</f>
      </c>
      <c r="L230" s="11">
        <f>IF(F230="","",F230+G230)</f>
      </c>
      <c r="M230" s="11">
        <f>IF(K230="","",K230-L230)</f>
      </c>
      <c r="N230" s="11">
        <f>IF(H230="","",H230-I230)</f>
      </c>
      <c r="O230" s="11">
        <f>IF(N230="","",N230-J230)</f>
      </c>
      <c r="P230" s="11">
        <f>IF(OR(M230="",M230&lt;=0),"자본잠식",ROUND(L230/M230*100,1))</f>
      </c>
      <c r="Q230" s="11">
        <f>IF(OR(M230="",M230&lt;=0),"—",ROUND(O230/M230*100,1))</f>
      </c>
    </row>
    <row r="231">
      <c r="A231" s="11" t="str">
        <f>IF(종목!A42="","",종목!A42)</f>
      </c>
      <c r="B231" s="11" t="str">
        <f>IF(종목!A42="","",종목!B42)</f>
      </c>
      <c r="C231" s="11">
        <f>IF(종목!A42="","",게임설정!$B$13)</f>
      </c>
      <c r="D231" s="7"/>
      <c r="E231" s="7"/>
      <c r="F231" s="7"/>
      <c r="G231" s="7"/>
      <c r="H231" s="7"/>
      <c r="I231" s="7"/>
      <c r="J231" s="7"/>
      <c r="K231" s="11">
        <f>IF(D231="","",D231+E231)</f>
      </c>
      <c r="L231" s="11">
        <f>IF(F231="","",F231+G231)</f>
      </c>
      <c r="M231" s="11">
        <f>IF(K231="","",K231-L231)</f>
      </c>
      <c r="N231" s="11">
        <f>IF(H231="","",H231-I231)</f>
      </c>
      <c r="O231" s="11">
        <f>IF(N231="","",N231-J231)</f>
      </c>
      <c r="P231" s="11">
        <f>IF(OR(M231="",M231&lt;=0),"자본잠식",ROUND(L231/M231*100,1))</f>
      </c>
      <c r="Q231" s="11">
        <f>IF(OR(M231="",M231&lt;=0),"—",ROUND(O231/M231*100,1))</f>
      </c>
    </row>
    <row r="232">
      <c r="A232" s="11" t="str">
        <f>IF(종목!A42="","",종목!A42)</f>
      </c>
      <c r="B232" s="11" t="str">
        <f>IF(종목!A42="","",종목!B42)</f>
      </c>
      <c r="C232" s="11">
        <f>IF(종목!A42="","",게임설정!$B$8)</f>
      </c>
      <c r="D232" s="7"/>
      <c r="E232" s="7"/>
      <c r="F232" s="7"/>
      <c r="G232" s="7"/>
      <c r="H232" s="7"/>
      <c r="I232" s="7"/>
      <c r="J232" s="7"/>
      <c r="K232" s="11">
        <f>IF(D232="","",D232+E232)</f>
      </c>
      <c r="L232" s="11">
        <f>IF(F232="","",F232+G232)</f>
      </c>
      <c r="M232" s="11">
        <f>IF(K232="","",K232-L232)</f>
      </c>
      <c r="N232" s="11">
        <f>IF(H232="","",H232-I232)</f>
      </c>
      <c r="O232" s="11">
        <f>IF(N232="","",N232-J232)</f>
      </c>
      <c r="P232" s="11">
        <f>IF(OR(M232="",M232&lt;=0),"자본잠식",ROUND(L232/M232*100,1))</f>
      </c>
      <c r="Q232" s="11">
        <f>IF(OR(M232="",M232&lt;=0),"—",ROUND(O232/M232*100,1))</f>
      </c>
    </row>
    <row r="233">
      <c r="A233" s="11" t="str">
        <f>IF(종목!A43="","",종목!A43)</f>
      </c>
      <c r="B233" s="11" t="str">
        <f>IF(종목!A43="","",종목!B43)</f>
      </c>
      <c r="C233" s="11">
        <f>IF(종목!A43="","",게임설정!$B$9)</f>
      </c>
      <c r="D233" s="7"/>
      <c r="E233" s="7"/>
      <c r="F233" s="7"/>
      <c r="G233" s="7"/>
      <c r="H233" s="7"/>
      <c r="I233" s="7"/>
      <c r="J233" s="7"/>
      <c r="K233" s="11">
        <f>IF(D233="","",D233+E233)</f>
      </c>
      <c r="L233" s="11">
        <f>IF(F233="","",F233+G233)</f>
      </c>
      <c r="M233" s="11">
        <f>IF(K233="","",K233-L233)</f>
      </c>
      <c r="N233" s="11">
        <f>IF(H233="","",H233-I233)</f>
      </c>
      <c r="O233" s="11">
        <f>IF(N233="","",N233-J233)</f>
      </c>
      <c r="P233" s="11">
        <f>IF(OR(M233="",M233&lt;=0),"자본잠식",ROUND(L233/M233*100,1))</f>
      </c>
      <c r="Q233" s="11">
        <f>IF(OR(M233="",M233&lt;=0),"—",ROUND(O233/M233*100,1))</f>
      </c>
    </row>
    <row r="234">
      <c r="A234" s="11" t="str">
        <f>IF(종목!A43="","",종목!A43)</f>
      </c>
      <c r="B234" s="11" t="str">
        <f>IF(종목!A43="","",종목!B43)</f>
      </c>
      <c r="C234" s="11">
        <f>IF(종목!A43="","",게임설정!$B$10)</f>
      </c>
      <c r="D234" s="7"/>
      <c r="E234" s="7"/>
      <c r="F234" s="7"/>
      <c r="G234" s="7"/>
      <c r="H234" s="7"/>
      <c r="I234" s="7"/>
      <c r="J234" s="7"/>
      <c r="K234" s="11">
        <f>IF(D234="","",D234+E234)</f>
      </c>
      <c r="L234" s="11">
        <f>IF(F234="","",F234+G234)</f>
      </c>
      <c r="M234" s="11">
        <f>IF(K234="","",K234-L234)</f>
      </c>
      <c r="N234" s="11">
        <f>IF(H234="","",H234-I234)</f>
      </c>
      <c r="O234" s="11">
        <f>IF(N234="","",N234-J234)</f>
      </c>
      <c r="P234" s="11">
        <f>IF(OR(M234="",M234&lt;=0),"자본잠식",ROUND(L234/M234*100,1))</f>
      </c>
      <c r="Q234" s="11">
        <f>IF(OR(M234="",M234&lt;=0),"—",ROUND(O234/M234*100,1))</f>
      </c>
    </row>
    <row r="235">
      <c r="A235" s="11" t="str">
        <f>IF(종목!A43="","",종목!A43)</f>
      </c>
      <c r="B235" s="11" t="str">
        <f>IF(종목!A43="","",종목!B43)</f>
      </c>
      <c r="C235" s="11">
        <f>IF(종목!A43="","",게임설정!$B$11)</f>
      </c>
      <c r="D235" s="7"/>
      <c r="E235" s="7"/>
      <c r="F235" s="7"/>
      <c r="G235" s="7"/>
      <c r="H235" s="7"/>
      <c r="I235" s="7"/>
      <c r="J235" s="7"/>
      <c r="K235" s="11">
        <f>IF(D235="","",D235+E235)</f>
      </c>
      <c r="L235" s="11">
        <f>IF(F235="","",F235+G235)</f>
      </c>
      <c r="M235" s="11">
        <f>IF(K235="","",K235-L235)</f>
      </c>
      <c r="N235" s="11">
        <f>IF(H235="","",H235-I235)</f>
      </c>
      <c r="O235" s="11">
        <f>IF(N235="","",N235-J235)</f>
      </c>
      <c r="P235" s="11">
        <f>IF(OR(M235="",M235&lt;=0),"자본잠식",ROUND(L235/M235*100,1))</f>
      </c>
      <c r="Q235" s="11">
        <f>IF(OR(M235="",M235&lt;=0),"—",ROUND(O235/M235*100,1))</f>
      </c>
    </row>
    <row r="236">
      <c r="A236" s="11" t="str">
        <f>IF(종목!A43="","",종목!A43)</f>
      </c>
      <c r="B236" s="11" t="str">
        <f>IF(종목!A43="","",종목!B43)</f>
      </c>
      <c r="C236" s="11">
        <f>IF(종목!A43="","",게임설정!$B$12)</f>
      </c>
      <c r="D236" s="7"/>
      <c r="E236" s="7"/>
      <c r="F236" s="7"/>
      <c r="G236" s="7"/>
      <c r="H236" s="7"/>
      <c r="I236" s="7"/>
      <c r="J236" s="7"/>
      <c r="K236" s="11">
        <f>IF(D236="","",D236+E236)</f>
      </c>
      <c r="L236" s="11">
        <f>IF(F236="","",F236+G236)</f>
      </c>
      <c r="M236" s="11">
        <f>IF(K236="","",K236-L236)</f>
      </c>
      <c r="N236" s="11">
        <f>IF(H236="","",H236-I236)</f>
      </c>
      <c r="O236" s="11">
        <f>IF(N236="","",N236-J236)</f>
      </c>
      <c r="P236" s="11">
        <f>IF(OR(M236="",M236&lt;=0),"자본잠식",ROUND(L236/M236*100,1))</f>
      </c>
      <c r="Q236" s="11">
        <f>IF(OR(M236="",M236&lt;=0),"—",ROUND(O236/M236*100,1))</f>
      </c>
    </row>
    <row r="237">
      <c r="A237" s="11" t="str">
        <f>IF(종목!A43="","",종목!A43)</f>
      </c>
      <c r="B237" s="11" t="str">
        <f>IF(종목!A43="","",종목!B43)</f>
      </c>
      <c r="C237" s="11">
        <f>IF(종목!A43="","",게임설정!$B$13)</f>
      </c>
      <c r="D237" s="7"/>
      <c r="E237" s="7"/>
      <c r="F237" s="7"/>
      <c r="G237" s="7"/>
      <c r="H237" s="7"/>
      <c r="I237" s="7"/>
      <c r="J237" s="7"/>
      <c r="K237" s="11">
        <f>IF(D237="","",D237+E237)</f>
      </c>
      <c r="L237" s="11">
        <f>IF(F237="","",F237+G237)</f>
      </c>
      <c r="M237" s="11">
        <f>IF(K237="","",K237-L237)</f>
      </c>
      <c r="N237" s="11">
        <f>IF(H237="","",H237-I237)</f>
      </c>
      <c r="O237" s="11">
        <f>IF(N237="","",N237-J237)</f>
      </c>
      <c r="P237" s="11">
        <f>IF(OR(M237="",M237&lt;=0),"자본잠식",ROUND(L237/M237*100,1))</f>
      </c>
      <c r="Q237" s="11">
        <f>IF(OR(M237="",M237&lt;=0),"—",ROUND(O237/M237*100,1))</f>
      </c>
    </row>
    <row r="238">
      <c r="A238" s="11" t="str">
        <f>IF(종목!A43="","",종목!A43)</f>
      </c>
      <c r="B238" s="11" t="str">
        <f>IF(종목!A43="","",종목!B43)</f>
      </c>
      <c r="C238" s="11">
        <f>IF(종목!A43="","",게임설정!$B$8)</f>
      </c>
      <c r="D238" s="7"/>
      <c r="E238" s="7"/>
      <c r="F238" s="7"/>
      <c r="G238" s="7"/>
      <c r="H238" s="7"/>
      <c r="I238" s="7"/>
      <c r="J238" s="7"/>
      <c r="K238" s="11">
        <f>IF(D238="","",D238+E238)</f>
      </c>
      <c r="L238" s="11">
        <f>IF(F238="","",F238+G238)</f>
      </c>
      <c r="M238" s="11">
        <f>IF(K238="","",K238-L238)</f>
      </c>
      <c r="N238" s="11">
        <f>IF(H238="","",H238-I238)</f>
      </c>
      <c r="O238" s="11">
        <f>IF(N238="","",N238-J238)</f>
      </c>
      <c r="P238" s="11">
        <f>IF(OR(M238="",M238&lt;=0),"자본잠식",ROUND(L238/M238*100,1))</f>
      </c>
      <c r="Q238" s="11">
        <f>IF(OR(M238="",M238&lt;=0),"—",ROUND(O238/M238*100,1))</f>
      </c>
    </row>
    <row r="239">
      <c r="A239" s="11" t="str">
        <f>IF(종목!A44="","",종목!A44)</f>
      </c>
      <c r="B239" s="11" t="str">
        <f>IF(종목!A44="","",종목!B44)</f>
      </c>
      <c r="C239" s="11">
        <f>IF(종목!A44="","",게임설정!$B$9)</f>
      </c>
      <c r="D239" s="7"/>
      <c r="E239" s="7"/>
      <c r="F239" s="7"/>
      <c r="G239" s="7"/>
      <c r="H239" s="7"/>
      <c r="I239" s="7"/>
      <c r="J239" s="7"/>
      <c r="K239" s="11">
        <f>IF(D239="","",D239+E239)</f>
      </c>
      <c r="L239" s="11">
        <f>IF(F239="","",F239+G239)</f>
      </c>
      <c r="M239" s="11">
        <f>IF(K239="","",K239-L239)</f>
      </c>
      <c r="N239" s="11">
        <f>IF(H239="","",H239-I239)</f>
      </c>
      <c r="O239" s="11">
        <f>IF(N239="","",N239-J239)</f>
      </c>
      <c r="P239" s="11">
        <f>IF(OR(M239="",M239&lt;=0),"자본잠식",ROUND(L239/M239*100,1))</f>
      </c>
      <c r="Q239" s="11">
        <f>IF(OR(M239="",M239&lt;=0),"—",ROUND(O239/M239*100,1))</f>
      </c>
    </row>
    <row r="240">
      <c r="A240" s="11" t="str">
        <f>IF(종목!A44="","",종목!A44)</f>
      </c>
      <c r="B240" s="11" t="str">
        <f>IF(종목!A44="","",종목!B44)</f>
      </c>
      <c r="C240" s="11">
        <f>IF(종목!A44="","",게임설정!$B$10)</f>
      </c>
      <c r="D240" s="7"/>
      <c r="E240" s="7"/>
      <c r="F240" s="7"/>
      <c r="G240" s="7"/>
      <c r="H240" s="7"/>
      <c r="I240" s="7"/>
      <c r="J240" s="7"/>
      <c r="K240" s="11">
        <f>IF(D240="","",D240+E240)</f>
      </c>
      <c r="L240" s="11">
        <f>IF(F240="","",F240+G240)</f>
      </c>
      <c r="M240" s="11">
        <f>IF(K240="","",K240-L240)</f>
      </c>
      <c r="N240" s="11">
        <f>IF(H240="","",H240-I240)</f>
      </c>
      <c r="O240" s="11">
        <f>IF(N240="","",N240-J240)</f>
      </c>
      <c r="P240" s="11">
        <f>IF(OR(M240="",M240&lt;=0),"자본잠식",ROUND(L240/M240*100,1))</f>
      </c>
      <c r="Q240" s="11">
        <f>IF(OR(M240="",M240&lt;=0),"—",ROUND(O240/M240*100,1))</f>
      </c>
    </row>
    <row r="241">
      <c r="A241" s="11" t="str">
        <f>IF(종목!A44="","",종목!A44)</f>
      </c>
      <c r="B241" s="11" t="str">
        <f>IF(종목!A44="","",종목!B44)</f>
      </c>
      <c r="C241" s="11">
        <f>IF(종목!A44="","",게임설정!$B$11)</f>
      </c>
      <c r="D241" s="7"/>
      <c r="E241" s="7"/>
      <c r="F241" s="7"/>
      <c r="G241" s="7"/>
      <c r="H241" s="7"/>
      <c r="I241" s="7"/>
      <c r="J241" s="7"/>
      <c r="K241" s="11">
        <f>IF(D241="","",D241+E241)</f>
      </c>
      <c r="L241" s="11">
        <f>IF(F241="","",F241+G241)</f>
      </c>
      <c r="M241" s="11">
        <f>IF(K241="","",K241-L241)</f>
      </c>
      <c r="N241" s="11">
        <f>IF(H241="","",H241-I241)</f>
      </c>
      <c r="O241" s="11">
        <f>IF(N241="","",N241-J241)</f>
      </c>
      <c r="P241" s="11">
        <f>IF(OR(M241="",M241&lt;=0),"자본잠식",ROUND(L241/M241*100,1))</f>
      </c>
      <c r="Q241" s="11">
        <f>IF(OR(M241="",M241&lt;=0),"—",ROUND(O241/M241*100,1))</f>
      </c>
    </row>
    <row r="242">
      <c r="A242" s="11" t="str">
        <f>IF(종목!A44="","",종목!A44)</f>
      </c>
      <c r="B242" s="11" t="str">
        <f>IF(종목!A44="","",종목!B44)</f>
      </c>
      <c r="C242" s="11">
        <f>IF(종목!A44="","",게임설정!$B$12)</f>
      </c>
      <c r="D242" s="7"/>
      <c r="E242" s="7"/>
      <c r="F242" s="7"/>
      <c r="G242" s="7"/>
      <c r="H242" s="7"/>
      <c r="I242" s="7"/>
      <c r="J242" s="7"/>
      <c r="K242" s="11">
        <f>IF(D242="","",D242+E242)</f>
      </c>
      <c r="L242" s="11">
        <f>IF(F242="","",F242+G242)</f>
      </c>
      <c r="M242" s="11">
        <f>IF(K242="","",K242-L242)</f>
      </c>
      <c r="N242" s="11">
        <f>IF(H242="","",H242-I242)</f>
      </c>
      <c r="O242" s="11">
        <f>IF(N242="","",N242-J242)</f>
      </c>
      <c r="P242" s="11">
        <f>IF(OR(M242="",M242&lt;=0),"자본잠식",ROUND(L242/M242*100,1))</f>
      </c>
      <c r="Q242" s="11">
        <f>IF(OR(M242="",M242&lt;=0),"—",ROUND(O242/M242*100,1))</f>
      </c>
    </row>
    <row r="243">
      <c r="A243" s="11" t="str">
        <f>IF(종목!A44="","",종목!A44)</f>
      </c>
      <c r="B243" s="11" t="str">
        <f>IF(종목!A44="","",종목!B44)</f>
      </c>
      <c r="C243" s="11">
        <f>IF(종목!A44="","",게임설정!$B$13)</f>
      </c>
      <c r="D243" s="7"/>
      <c r="E243" s="7"/>
      <c r="F243" s="7"/>
      <c r="G243" s="7"/>
      <c r="H243" s="7"/>
      <c r="I243" s="7"/>
      <c r="J243" s="7"/>
      <c r="K243" s="11">
        <f>IF(D243="","",D243+E243)</f>
      </c>
      <c r="L243" s="11">
        <f>IF(F243="","",F243+G243)</f>
      </c>
      <c r="M243" s="11">
        <f>IF(K243="","",K243-L243)</f>
      </c>
      <c r="N243" s="11">
        <f>IF(H243="","",H243-I243)</f>
      </c>
      <c r="O243" s="11">
        <f>IF(N243="","",N243-J243)</f>
      </c>
      <c r="P243" s="11">
        <f>IF(OR(M243="",M243&lt;=0),"자본잠식",ROUND(L243/M243*100,1))</f>
      </c>
      <c r="Q243" s="11">
        <f>IF(OR(M243="",M243&lt;=0),"—",ROUND(O243/M243*100,1))</f>
      </c>
    </row>
    <row r="244">
      <c r="A244" s="11" t="str">
        <f>IF(종목!A44="","",종목!A44)</f>
      </c>
      <c r="B244" s="11" t="str">
        <f>IF(종목!A44="","",종목!B44)</f>
      </c>
      <c r="C244" s="11">
        <f>IF(종목!A44="","",게임설정!$B$8)</f>
      </c>
      <c r="D244" s="7"/>
      <c r="E244" s="7"/>
      <c r="F244" s="7"/>
      <c r="G244" s="7"/>
      <c r="H244" s="7"/>
      <c r="I244" s="7"/>
      <c r="J244" s="7"/>
      <c r="K244" s="11">
        <f>IF(D244="","",D244+E244)</f>
      </c>
      <c r="L244" s="11">
        <f>IF(F244="","",F244+G244)</f>
      </c>
      <c r="M244" s="11">
        <f>IF(K244="","",K244-L244)</f>
      </c>
      <c r="N244" s="11">
        <f>IF(H244="","",H244-I244)</f>
      </c>
      <c r="O244" s="11">
        <f>IF(N244="","",N244-J244)</f>
      </c>
      <c r="P244" s="11">
        <f>IF(OR(M244="",M244&lt;=0),"자본잠식",ROUND(L244/M244*100,1))</f>
      </c>
      <c r="Q244" s="11">
        <f>IF(OR(M244="",M244&lt;=0),"—",ROUND(O244/M244*100,1))</f>
      </c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5" customWidth="1" min="3" max="3"/>
    <col width="19" customWidth="1" min="4" max="4"/>
    <col width="18" customWidth="1" min="5" max="5"/>
  </cols>
  <sheetData>
    <row r="1">
      <c r="A1" s="1" t="inlineStr">
        <is>
          <t>④ 힌트 (라운드 × 등급)</t>
        </is>
      </c>
    </row>
    <row r="2">
      <c r="A2" s="5" t="inlineStr">
        <is>
          <t>★ R2 힌트 = "R2 연도→다음 연도" 변동 예고. R1은 지급 없음(작성 불필요). 방향(up=호재/down=악재/flat=중립)·관련 종목ID(쉼표 구분, 예: S04,S02)는 선택이지만 채우면 자동 검증·종목 링크가 작동해요. 학생에겐 방향이 안 보여요.</t>
        </is>
      </c>
    </row>
    <row r="4">
      <c r="A4" s="6" t="inlineStr">
        <is>
          <t>라운드</t>
        </is>
      </c>
      <c r="B4" s="6" t="inlineStr">
        <is>
          <t>등급(S~D)</t>
        </is>
      </c>
      <c r="C4" s="6" t="inlineStr">
        <is>
          <t>힌트 문구</t>
        </is>
      </c>
      <c r="D4" s="8" t="inlineStr">
        <is>
          <t>방향(up/down/flat) (선택)</t>
        </is>
      </c>
      <c r="E4" s="8" t="inlineStr">
        <is>
          <t>관련 종목ID (선택)</t>
        </is>
      </c>
    </row>
    <row r="5">
      <c r="A5" s="7"/>
      <c r="B5" s="7"/>
      <c r="C5" s="7"/>
      <c r="D5" s="9"/>
      <c r="E5" s="9"/>
    </row>
    <row r="6">
      <c r="A6" s="7"/>
      <c r="B6" s="7"/>
      <c r="C6" s="7"/>
      <c r="D6" s="9"/>
      <c r="E6" s="9"/>
    </row>
    <row r="7">
      <c r="A7" s="7"/>
      <c r="B7" s="7"/>
      <c r="C7" s="7"/>
      <c r="D7" s="9"/>
      <c r="E7" s="9"/>
    </row>
    <row r="8">
      <c r="A8" s="7"/>
      <c r="B8" s="7"/>
      <c r="C8" s="7"/>
      <c r="D8" s="9"/>
      <c r="E8" s="9"/>
    </row>
    <row r="9">
      <c r="A9" s="7"/>
      <c r="B9" s="7"/>
      <c r="C9" s="7"/>
      <c r="D9" s="9"/>
      <c r="E9" s="9"/>
    </row>
    <row r="10">
      <c r="A10" s="7"/>
      <c r="B10" s="7"/>
      <c r="C10" s="7"/>
      <c r="D10" s="9"/>
      <c r="E10" s="9"/>
    </row>
    <row r="11">
      <c r="A11" s="7"/>
      <c r="B11" s="7"/>
      <c r="C11" s="7"/>
      <c r="D11" s="9"/>
      <c r="E11" s="9"/>
    </row>
    <row r="12">
      <c r="A12" s="7"/>
      <c r="B12" s="7"/>
      <c r="C12" s="7"/>
      <c r="D12" s="9"/>
      <c r="E12" s="9"/>
    </row>
    <row r="13">
      <c r="A13" s="7"/>
      <c r="B13" s="7"/>
      <c r="C13" s="7"/>
      <c r="D13" s="9"/>
      <c r="E13" s="9"/>
    </row>
    <row r="14">
      <c r="A14" s="7"/>
      <c r="B14" s="7"/>
      <c r="C14" s="7"/>
      <c r="D14" s="9"/>
      <c r="E14" s="9"/>
    </row>
    <row r="15">
      <c r="A15" s="7"/>
      <c r="B15" s="7"/>
      <c r="C15" s="7"/>
      <c r="D15" s="9"/>
      <c r="E15" s="9"/>
    </row>
    <row r="16">
      <c r="A16" s="7"/>
      <c r="B16" s="7"/>
      <c r="C16" s="7"/>
      <c r="D16" s="9"/>
      <c r="E16" s="9"/>
    </row>
    <row r="17">
      <c r="A17" s="7"/>
      <c r="B17" s="7"/>
      <c r="C17" s="7"/>
      <c r="D17" s="9"/>
      <c r="E17" s="9"/>
    </row>
    <row r="18">
      <c r="A18" s="7"/>
      <c r="B18" s="7"/>
      <c r="C18" s="7"/>
      <c r="D18" s="9"/>
      <c r="E18" s="9"/>
    </row>
    <row r="19">
      <c r="A19" s="7"/>
      <c r="B19" s="7"/>
      <c r="C19" s="7"/>
      <c r="D19" s="9"/>
      <c r="E19" s="9"/>
    </row>
    <row r="20">
      <c r="A20" s="7"/>
      <c r="B20" s="7"/>
      <c r="C20" s="7"/>
      <c r="D20" s="9"/>
      <c r="E20" s="9"/>
    </row>
    <row r="21">
      <c r="A21" s="7"/>
      <c r="B21" s="7"/>
      <c r="C21" s="7"/>
      <c r="D21" s="9"/>
      <c r="E21" s="9"/>
    </row>
    <row r="22">
      <c r="A22" s="7"/>
      <c r="B22" s="7"/>
      <c r="C22" s="7"/>
      <c r="D22" s="9"/>
      <c r="E22" s="9"/>
    </row>
    <row r="23">
      <c r="A23" s="7"/>
      <c r="B23" s="7"/>
      <c r="C23" s="7"/>
      <c r="D23" s="9"/>
      <c r="E23" s="9"/>
    </row>
    <row r="24">
      <c r="A24" s="7"/>
      <c r="B24" s="7"/>
      <c r="C24" s="7"/>
      <c r="D24" s="9"/>
      <c r="E24" s="9"/>
    </row>
    <row r="25">
      <c r="A25" s="7"/>
      <c r="B25" s="7"/>
      <c r="C25" s="7"/>
      <c r="D25" s="9"/>
      <c r="E25" s="9"/>
    </row>
    <row r="26">
      <c r="A26" s="7"/>
      <c r="B26" s="7"/>
      <c r="C26" s="7"/>
      <c r="D26" s="9"/>
      <c r="E26" s="9"/>
    </row>
    <row r="27">
      <c r="A27" s="7"/>
      <c r="B27" s="7"/>
      <c r="C27" s="7"/>
      <c r="D27" s="9"/>
      <c r="E27" s="9"/>
    </row>
    <row r="28">
      <c r="A28" s="7"/>
      <c r="B28" s="7"/>
      <c r="C28" s="7"/>
      <c r="D28" s="9"/>
      <c r="E28" s="9"/>
    </row>
    <row r="29">
      <c r="A29" s="7"/>
      <c r="B29" s="7"/>
      <c r="C29" s="7"/>
      <c r="D29" s="9"/>
      <c r="E29" s="9"/>
    </row>
    <row r="30">
      <c r="A30" s="7"/>
      <c r="B30" s="7"/>
      <c r="C30" s="7"/>
      <c r="D30" s="9"/>
      <c r="E30" s="9"/>
    </row>
    <row r="31">
      <c r="A31" s="7"/>
      <c r="B31" s="7"/>
      <c r="C31" s="7"/>
      <c r="D31" s="9"/>
      <c r="E31" s="9"/>
    </row>
    <row r="32">
      <c r="A32" s="7"/>
      <c r="B32" s="7"/>
      <c r="C32" s="7"/>
      <c r="D32" s="9"/>
      <c r="E32" s="9"/>
    </row>
    <row r="33">
      <c r="A33" s="7"/>
      <c r="B33" s="7"/>
      <c r="C33" s="7"/>
      <c r="D33" s="9"/>
      <c r="E33" s="9"/>
    </row>
    <row r="34">
      <c r="A34" s="7"/>
      <c r="B34" s="7"/>
      <c r="C34" s="7"/>
      <c r="D34" s="9"/>
      <c r="E34" s="9"/>
    </row>
    <row r="35">
      <c r="A35" s="7"/>
      <c r="B35" s="7"/>
      <c r="C35" s="7"/>
      <c r="D35" s="9"/>
      <c r="E35" s="9"/>
    </row>
    <row r="36">
      <c r="A36" s="7"/>
      <c r="B36" s="7"/>
      <c r="C36" s="7"/>
      <c r="D36" s="9"/>
      <c r="E36" s="9"/>
    </row>
    <row r="37">
      <c r="A37" s="7"/>
      <c r="B37" s="7"/>
      <c r="C37" s="7"/>
      <c r="D37" s="9"/>
      <c r="E37" s="9"/>
    </row>
    <row r="38">
      <c r="A38" s="7"/>
      <c r="B38" s="7"/>
      <c r="C38" s="7"/>
      <c r="D38" s="9"/>
      <c r="E38" s="9"/>
    </row>
    <row r="39">
      <c r="A39" s="7"/>
      <c r="B39" s="7"/>
      <c r="C39" s="7"/>
      <c r="D39" s="9"/>
      <c r="E39" s="9"/>
    </row>
    <row r="40">
      <c r="A40" s="7"/>
      <c r="B40" s="7"/>
      <c r="C40" s="7"/>
      <c r="D40" s="9"/>
      <c r="E40" s="9"/>
    </row>
    <row r="41">
      <c r="A41" s="7"/>
      <c r="B41" s="7"/>
      <c r="C41" s="7"/>
      <c r="D41" s="9"/>
      <c r="E41" s="9"/>
    </row>
    <row r="42">
      <c r="A42" s="7"/>
      <c r="B42" s="7"/>
      <c r="C42" s="7"/>
      <c r="D42" s="9"/>
      <c r="E42" s="9"/>
    </row>
    <row r="43">
      <c r="A43" s="7"/>
      <c r="B43" s="7"/>
      <c r="C43" s="7"/>
      <c r="D43" s="9"/>
      <c r="E43" s="9"/>
    </row>
    <row r="44">
      <c r="A44" s="7"/>
      <c r="B44" s="7"/>
      <c r="C44" s="7"/>
      <c r="D44" s="9"/>
      <c r="E44" s="9"/>
    </row>
    <row r="45">
      <c r="A45" s="7"/>
      <c r="B45" s="7"/>
      <c r="C45" s="7"/>
      <c r="D45" s="9"/>
      <c r="E45" s="9"/>
    </row>
    <row r="46">
      <c r="A46" s="7"/>
      <c r="B46" s="7"/>
      <c r="C46" s="7"/>
      <c r="D46" s="9"/>
      <c r="E46" s="9"/>
    </row>
    <row r="47">
      <c r="A47" s="7"/>
      <c r="B47" s="7"/>
      <c r="C47" s="7"/>
      <c r="D47" s="9"/>
      <c r="E47" s="9"/>
    </row>
    <row r="48">
      <c r="A48" s="7"/>
      <c r="B48" s="7"/>
      <c r="C48" s="7"/>
      <c r="D48" s="9"/>
      <c r="E48" s="9"/>
    </row>
    <row r="49">
      <c r="A49" s="7"/>
      <c r="B49" s="7"/>
      <c r="C49" s="7"/>
      <c r="D49" s="9"/>
      <c r="E49" s="9"/>
    </row>
    <row r="50">
      <c r="A50" s="7"/>
      <c r="B50" s="7"/>
      <c r="C50" s="7"/>
      <c r="D50" s="9"/>
      <c r="E50" s="9"/>
    </row>
  </sheetData>
  <sheetProtection sheet="1" objects="1" scenarios="1" formatColumns="0" formatRows="0" selectLockedCells="0" selectUnlockedCells="0"/>
  <dataValidations count="2">
    <dataValidation type="list" allowBlank="1" showInputMessage="1" showErrorMessage="1" errorTitle="등급 확인" error="S · A · B · C · D 중에서 고르세요." sqref="B5:B200">
      <formula1>"S,A,B,C,D"</formula1>
    </dataValidation>
    <dataValidation type="list" allowBlank="1" showInputMessage="1" showErrorMessage="1" errorTitle="방향 확인" error="up · down · flat 중에서 고르세요 (비워도 돼요=flat)." sqref="D5:D200">
      <formula1>"up,down,flat"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⑤ 시황 (연도별 거시경제)</t>
        </is>
      </c>
    </row>
    <row r="2">
      <c r="A2" s="5" t="inlineStr">
        <is>
          <t>한 행 = 한 해. 실제 역사와 비슷하게 쓰면 교육 효과가 좋아요. 한 줄 요약은 학생 시황판 맨 위에 크게 보여요.</t>
        </is>
      </c>
    </row>
    <row r="4">
      <c r="A4" s="6" t="inlineStr">
        <is>
          <t>연도</t>
        </is>
      </c>
      <c r="B4" s="6" t="inlineStr">
        <is>
          <t>한 줄 요약</t>
        </is>
      </c>
      <c r="C4" s="6" t="inlineStr">
        <is>
          <t>코스피지수(pt)</t>
        </is>
      </c>
      <c r="D4" s="6" t="inlineStr">
        <is>
          <t>S&amp;P 500(pt)</t>
        </is>
      </c>
      <c r="E4" s="6" t="inlineStr">
        <is>
          <t>일본지수(pt)</t>
        </is>
      </c>
      <c r="F4" s="6" t="inlineStr">
        <is>
          <t>유럽지수(pt)</t>
        </is>
      </c>
      <c r="G4" s="6" t="inlineStr">
        <is>
          <t>기준금리(%)</t>
        </is>
      </c>
      <c r="H4" s="6" t="inlineStr">
        <is>
          <t>물가상승률(%)</t>
        </is>
      </c>
      <c r="I4" s="6" t="inlineStr">
        <is>
          <t>국제유가($)</t>
        </is>
      </c>
      <c r="J4" s="6" t="inlineStr">
        <is>
          <t>금($/oz)</t>
        </is>
      </c>
    </row>
    <row r="5">
      <c r="A5" s="11">
        <f>게임설정!$B$9</f>
        <v>2020</v>
      </c>
      <c r="B5" s="7"/>
      <c r="C5" s="7"/>
      <c r="D5" s="7"/>
      <c r="E5" s="7"/>
      <c r="F5" s="7"/>
      <c r="G5" s="7"/>
      <c r="H5" s="7"/>
      <c r="I5" s="7"/>
      <c r="J5" s="7"/>
    </row>
    <row r="6">
      <c r="A6" s="11">
        <f>게임설정!$B$10</f>
        <v>2021</v>
      </c>
      <c r="B6" s="7"/>
      <c r="C6" s="7"/>
      <c r="D6" s="7"/>
      <c r="E6" s="7"/>
      <c r="F6" s="7"/>
      <c r="G6" s="7"/>
      <c r="H6" s="7"/>
      <c r="I6" s="7"/>
      <c r="J6" s="7"/>
    </row>
    <row r="7">
      <c r="A7" s="11">
        <f>게임설정!$B$11</f>
        <v>2022</v>
      </c>
      <c r="B7" s="7"/>
      <c r="C7" s="7"/>
      <c r="D7" s="7"/>
      <c r="E7" s="7"/>
      <c r="F7" s="7"/>
      <c r="G7" s="7"/>
      <c r="H7" s="7"/>
      <c r="I7" s="7"/>
      <c r="J7" s="7"/>
    </row>
    <row r="8">
      <c r="A8" s="11">
        <f>게임설정!$B$12</f>
        <v>2023</v>
      </c>
      <c r="B8" s="7"/>
      <c r="C8" s="7"/>
      <c r="D8" s="7"/>
      <c r="E8" s="7"/>
      <c r="F8" s="7"/>
      <c r="G8" s="7"/>
      <c r="H8" s="7"/>
      <c r="I8" s="7"/>
      <c r="J8" s="7"/>
    </row>
    <row r="9">
      <c r="A9" s="11">
        <f>게임설정!$B$13</f>
        <v>2024</v>
      </c>
      <c r="B9" s="7"/>
      <c r="C9" s="7"/>
      <c r="D9" s="7"/>
      <c r="E9" s="7"/>
      <c r="F9" s="7"/>
      <c r="G9" s="7"/>
      <c r="H9" s="7"/>
      <c r="I9" s="7"/>
      <c r="J9" s="7"/>
    </row>
    <row r="10">
      <c r="A10" s="11">
        <f>게임설정!$B$8</f>
        <v>2025</v>
      </c>
      <c r="B10" s="7"/>
      <c r="C10" s="7"/>
      <c r="D10" s="7"/>
      <c r="E10" s="7"/>
      <c r="F10" s="7"/>
      <c r="G10" s="7"/>
      <c r="H10" s="7"/>
      <c r="I10" s="7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8" customWidth="1" min="1" max="1"/>
    <col width="16" customWidth="1" min="2" max="2"/>
    <col width="12" customWidth="1" min="3" max="7"/>
  </cols>
  <sheetData>
    <row r="1">
      <c r="A1" s="1" t="inlineStr">
        <is>
          <t>★ 등락률 (자동 계산 · 참고용 — 힌트 방향 근거)</t>
        </is>
      </c>
    </row>
    <row r="2">
      <c r="A2" s="5" t="inlineStr">
        <is>
          <t>종목 시트에 가격을 넣으면 연도별 등락률이 자동 계산돼요. 힌트 방향(호재·악재) 정할 때 근거로 보세요. 이 시트는 자동이라 채우지 않습니다. (가격을 %로 넣은 칸은 —로 표시)</t>
        </is>
      </c>
    </row>
    <row r="4">
      <c r="A4" s="6" t="inlineStr">
        <is>
          <t>종목ID</t>
        </is>
      </c>
      <c r="B4" s="6" t="inlineStr">
        <is>
          <t>종목명</t>
        </is>
      </c>
      <c r="C4" s="6" t="str">
        <f>게임설정!$B$9&amp;"→"&amp;게임설정!$B$10</f>
        <v>2020→2021</v>
      </c>
      <c r="D4" s="6" t="str">
        <f>게임설정!$B$10&amp;"→"&amp;게임설정!$B$11</f>
        <v>2021→2022</v>
      </c>
      <c r="E4" s="6" t="str">
        <f>게임설정!$B$11&amp;"→"&amp;게임설정!$B$12</f>
        <v>2022→2023</v>
      </c>
      <c r="F4" s="6" t="str">
        <f>게임설정!$B$12&amp;"→"&amp;게임설정!$B$13</f>
        <v>2023→2024</v>
      </c>
      <c r="G4" s="6" t="str">
        <f>게임설정!$B$13&amp;"→"&amp;게임설정!$B$8</f>
        <v>2024→2025</v>
      </c>
    </row>
    <row r="5">
      <c r="A5" s="11" t="str">
        <f>IF(종목!A5="","",종목!A5)</f>
      </c>
      <c r="B5" s="11" t="str">
        <f>IF(종목!B5="","",종목!B5)</f>
      </c>
      <c r="C5" s="11" t="str">
        <f>IF(종목!$A5="","",IF(종목!G5="","상장/정지",IF(종목!G5=0,"폐지(-100%)",IF(OR(종목!F5="",종목!F5=0),"신규상장",IFERROR(TEXT(종목!G5/종목!F5-1,"+0%;-0%"),"—")))))</f>
      </c>
      <c r="D5" s="11" t="str">
        <f>IF(종목!$A5="","",IF(종목!H5="","상장/정지",IF(종목!H5=0,"폐지(-100%)",IF(OR(종목!G5="",종목!G5=0),"신규상장",IFERROR(TEXT(종목!H5/종목!G5-1,"+0%;-0%"),"—")))))</f>
      </c>
      <c r="E5" s="11" t="str">
        <f>IF(종목!$A5="","",IF(종목!I5="","상장/정지",IF(종목!I5=0,"폐지(-100%)",IF(OR(종목!H5="",종목!H5=0),"신규상장",IFERROR(TEXT(종목!I5/종목!H5-1,"+0%;-0%"),"—")))))</f>
      </c>
      <c r="F5" s="11" t="str">
        <f>IF(종목!$A5="","",IF(종목!J5="","상장/정지",IF(종목!J5=0,"폐지(-100%)",IF(OR(종목!I5="",종목!I5=0),"신규상장",IFERROR(TEXT(종목!J5/종목!I5-1,"+0%;-0%"),"—")))))</f>
      </c>
      <c r="G5" s="11" t="str">
        <f>IF(종목!$A5="","",IF(종목!K5="","상장/정지",IF(종목!K5=0,"폐지(-100%)",IF(OR(종목!J5="",종목!J5=0),"신규상장",IFERROR(TEXT(종목!K5/종목!J5-1,"+0%;-0%"),"—")))))</f>
      </c>
    </row>
    <row r="6">
      <c r="A6" s="11" t="str">
        <f>IF(종목!A6="","",종목!A6)</f>
      </c>
      <c r="B6" s="11" t="str">
        <f>IF(종목!B6="","",종목!B6)</f>
      </c>
      <c r="C6" s="11" t="str">
        <f>IF(종목!$A6="","",IF(종목!G6="","상장/정지",IF(종목!G6=0,"폐지(-100%)",IF(OR(종목!F6="",종목!F6=0),"신규상장",IFERROR(TEXT(종목!G6/종목!F6-1,"+0%;-0%"),"—")))))</f>
      </c>
      <c r="D6" s="11" t="str">
        <f>IF(종목!$A6="","",IF(종목!H6="","상장/정지",IF(종목!H6=0,"폐지(-100%)",IF(OR(종목!G6="",종목!G6=0),"신규상장",IFERROR(TEXT(종목!H6/종목!G6-1,"+0%;-0%"),"—")))))</f>
      </c>
      <c r="E6" s="11" t="str">
        <f>IF(종목!$A6="","",IF(종목!I6="","상장/정지",IF(종목!I6=0,"폐지(-100%)",IF(OR(종목!H6="",종목!H6=0),"신규상장",IFERROR(TEXT(종목!I6/종목!H6-1,"+0%;-0%"),"—")))))</f>
      </c>
      <c r="F6" s="11" t="str">
        <f>IF(종목!$A6="","",IF(종목!J6="","상장/정지",IF(종목!J6=0,"폐지(-100%)",IF(OR(종목!I6="",종목!I6=0),"신규상장",IFERROR(TEXT(종목!J6/종목!I6-1,"+0%;-0%"),"—")))))</f>
      </c>
      <c r="G6" s="11" t="str">
        <f>IF(종목!$A6="","",IF(종목!K6="","상장/정지",IF(종목!K6=0,"폐지(-100%)",IF(OR(종목!J6="",종목!J6=0),"신규상장",IFERROR(TEXT(종목!K6/종목!J6-1,"+0%;-0%"),"—")))))</f>
      </c>
    </row>
    <row r="7">
      <c r="A7" s="11" t="str">
        <f>IF(종목!A7="","",종목!A7)</f>
      </c>
      <c r="B7" s="11" t="str">
        <f>IF(종목!B7="","",종목!B7)</f>
      </c>
      <c r="C7" s="11" t="str">
        <f>IF(종목!$A7="","",IF(종목!G7="","상장/정지",IF(종목!G7=0,"폐지(-100%)",IF(OR(종목!F7="",종목!F7=0),"신규상장",IFERROR(TEXT(종목!G7/종목!F7-1,"+0%;-0%"),"—")))))</f>
      </c>
      <c r="D7" s="11" t="str">
        <f>IF(종목!$A7="","",IF(종목!H7="","상장/정지",IF(종목!H7=0,"폐지(-100%)",IF(OR(종목!G7="",종목!G7=0),"신규상장",IFERROR(TEXT(종목!H7/종목!G7-1,"+0%;-0%"),"—")))))</f>
      </c>
      <c r="E7" s="11" t="str">
        <f>IF(종목!$A7="","",IF(종목!I7="","상장/정지",IF(종목!I7=0,"폐지(-100%)",IF(OR(종목!H7="",종목!H7=0),"신규상장",IFERROR(TEXT(종목!I7/종목!H7-1,"+0%;-0%"),"—")))))</f>
      </c>
      <c r="F7" s="11" t="str">
        <f>IF(종목!$A7="","",IF(종목!J7="","상장/정지",IF(종목!J7=0,"폐지(-100%)",IF(OR(종목!I7="",종목!I7=0),"신규상장",IFERROR(TEXT(종목!J7/종목!I7-1,"+0%;-0%"),"—")))))</f>
      </c>
      <c r="G7" s="11" t="str">
        <f>IF(종목!$A7="","",IF(종목!K7="","상장/정지",IF(종목!K7=0,"폐지(-100%)",IF(OR(종목!J7="",종목!J7=0),"신규상장",IFERROR(TEXT(종목!K7/종목!J7-1,"+0%;-0%"),"—")))))</f>
      </c>
    </row>
    <row r="8">
      <c r="A8" s="11" t="str">
        <f>IF(종목!A8="","",종목!A8)</f>
      </c>
      <c r="B8" s="11" t="str">
        <f>IF(종목!B8="","",종목!B8)</f>
      </c>
      <c r="C8" s="11" t="str">
        <f>IF(종목!$A8="","",IF(종목!G8="","상장/정지",IF(종목!G8=0,"폐지(-100%)",IF(OR(종목!F8="",종목!F8=0),"신규상장",IFERROR(TEXT(종목!G8/종목!F8-1,"+0%;-0%"),"—")))))</f>
      </c>
      <c r="D8" s="11" t="str">
        <f>IF(종목!$A8="","",IF(종목!H8="","상장/정지",IF(종목!H8=0,"폐지(-100%)",IF(OR(종목!G8="",종목!G8=0),"신규상장",IFERROR(TEXT(종목!H8/종목!G8-1,"+0%;-0%"),"—")))))</f>
      </c>
      <c r="E8" s="11" t="str">
        <f>IF(종목!$A8="","",IF(종목!I8="","상장/정지",IF(종목!I8=0,"폐지(-100%)",IF(OR(종목!H8="",종목!H8=0),"신규상장",IFERROR(TEXT(종목!I8/종목!H8-1,"+0%;-0%"),"—")))))</f>
      </c>
      <c r="F8" s="11" t="str">
        <f>IF(종목!$A8="","",IF(종목!J8="","상장/정지",IF(종목!J8=0,"폐지(-100%)",IF(OR(종목!I8="",종목!I8=0),"신규상장",IFERROR(TEXT(종목!J8/종목!I8-1,"+0%;-0%"),"—")))))</f>
      </c>
      <c r="G8" s="11" t="str">
        <f>IF(종목!$A8="","",IF(종목!K8="","상장/정지",IF(종목!K8=0,"폐지(-100%)",IF(OR(종목!J8="",종목!J8=0),"신규상장",IFERROR(TEXT(종목!K8/종목!J8-1,"+0%;-0%"),"—")))))</f>
      </c>
    </row>
    <row r="9">
      <c r="A9" s="11" t="str">
        <f>IF(종목!A9="","",종목!A9)</f>
      </c>
      <c r="B9" s="11" t="str">
        <f>IF(종목!B9="","",종목!B9)</f>
      </c>
      <c r="C9" s="11" t="str">
        <f>IF(종목!$A9="","",IF(종목!G9="","상장/정지",IF(종목!G9=0,"폐지(-100%)",IF(OR(종목!F9="",종목!F9=0),"신규상장",IFERROR(TEXT(종목!G9/종목!F9-1,"+0%;-0%"),"—")))))</f>
      </c>
      <c r="D9" s="11" t="str">
        <f>IF(종목!$A9="","",IF(종목!H9="","상장/정지",IF(종목!H9=0,"폐지(-100%)",IF(OR(종목!G9="",종목!G9=0),"신규상장",IFERROR(TEXT(종목!H9/종목!G9-1,"+0%;-0%"),"—")))))</f>
      </c>
      <c r="E9" s="11" t="str">
        <f>IF(종목!$A9="","",IF(종목!I9="","상장/정지",IF(종목!I9=0,"폐지(-100%)",IF(OR(종목!H9="",종목!H9=0),"신규상장",IFERROR(TEXT(종목!I9/종목!H9-1,"+0%;-0%"),"—")))))</f>
      </c>
      <c r="F9" s="11" t="str">
        <f>IF(종목!$A9="","",IF(종목!J9="","상장/정지",IF(종목!J9=0,"폐지(-100%)",IF(OR(종목!I9="",종목!I9=0),"신규상장",IFERROR(TEXT(종목!J9/종목!I9-1,"+0%;-0%"),"—")))))</f>
      </c>
      <c r="G9" s="11" t="str">
        <f>IF(종목!$A9="","",IF(종목!K9="","상장/정지",IF(종목!K9=0,"폐지(-100%)",IF(OR(종목!J9="",종목!J9=0),"신규상장",IFERROR(TEXT(종목!K9/종목!J9-1,"+0%;-0%"),"—")))))</f>
      </c>
    </row>
    <row r="10">
      <c r="A10" s="11" t="str">
        <f>IF(종목!A10="","",종목!A10)</f>
      </c>
      <c r="B10" s="11" t="str">
        <f>IF(종목!B10="","",종목!B10)</f>
      </c>
      <c r="C10" s="11" t="str">
        <f>IF(종목!$A10="","",IF(종목!G10="","상장/정지",IF(종목!G10=0,"폐지(-100%)",IF(OR(종목!F10="",종목!F10=0),"신규상장",IFERROR(TEXT(종목!G10/종목!F10-1,"+0%;-0%"),"—")))))</f>
      </c>
      <c r="D10" s="11" t="str">
        <f>IF(종목!$A10="","",IF(종목!H10="","상장/정지",IF(종목!H10=0,"폐지(-100%)",IF(OR(종목!G10="",종목!G10=0),"신규상장",IFERROR(TEXT(종목!H10/종목!G10-1,"+0%;-0%"),"—")))))</f>
      </c>
      <c r="E10" s="11" t="str">
        <f>IF(종목!$A10="","",IF(종목!I10="","상장/정지",IF(종목!I10=0,"폐지(-100%)",IF(OR(종목!H10="",종목!H10=0),"신규상장",IFERROR(TEXT(종목!I10/종목!H10-1,"+0%;-0%"),"—")))))</f>
      </c>
      <c r="F10" s="11" t="str">
        <f>IF(종목!$A10="","",IF(종목!J10="","상장/정지",IF(종목!J10=0,"폐지(-100%)",IF(OR(종목!I10="",종목!I10=0),"신규상장",IFERROR(TEXT(종목!J10/종목!I10-1,"+0%;-0%"),"—")))))</f>
      </c>
      <c r="G10" s="11" t="str">
        <f>IF(종목!$A10="","",IF(종목!K10="","상장/정지",IF(종목!K10=0,"폐지(-100%)",IF(OR(종목!J10="",종목!J10=0),"신규상장",IFERROR(TEXT(종목!K10/종목!J10-1,"+0%;-0%"),"—")))))</f>
      </c>
    </row>
    <row r="11">
      <c r="A11" s="11" t="str">
        <f>IF(종목!A11="","",종목!A11)</f>
      </c>
      <c r="B11" s="11" t="str">
        <f>IF(종목!B11="","",종목!B11)</f>
      </c>
      <c r="C11" s="11" t="str">
        <f>IF(종목!$A11="","",IF(종목!G11="","상장/정지",IF(종목!G11=0,"폐지(-100%)",IF(OR(종목!F11="",종목!F11=0),"신규상장",IFERROR(TEXT(종목!G11/종목!F11-1,"+0%;-0%"),"—")))))</f>
      </c>
      <c r="D11" s="11" t="str">
        <f>IF(종목!$A11="","",IF(종목!H11="","상장/정지",IF(종목!H11=0,"폐지(-100%)",IF(OR(종목!G11="",종목!G11=0),"신규상장",IFERROR(TEXT(종목!H11/종목!G11-1,"+0%;-0%"),"—")))))</f>
      </c>
      <c r="E11" s="11" t="str">
        <f>IF(종목!$A11="","",IF(종목!I11="","상장/정지",IF(종목!I11=0,"폐지(-100%)",IF(OR(종목!H11="",종목!H11=0),"신규상장",IFERROR(TEXT(종목!I11/종목!H11-1,"+0%;-0%"),"—")))))</f>
      </c>
      <c r="F11" s="11" t="str">
        <f>IF(종목!$A11="","",IF(종목!J11="","상장/정지",IF(종목!J11=0,"폐지(-100%)",IF(OR(종목!I11="",종목!I11=0),"신규상장",IFERROR(TEXT(종목!J11/종목!I11-1,"+0%;-0%"),"—")))))</f>
      </c>
      <c r="G11" s="11" t="str">
        <f>IF(종목!$A11="","",IF(종목!K11="","상장/정지",IF(종목!K11=0,"폐지(-100%)",IF(OR(종목!J11="",종목!J11=0),"신규상장",IFERROR(TEXT(종목!K11/종목!J11-1,"+0%;-0%"),"—")))))</f>
      </c>
    </row>
    <row r="12">
      <c r="A12" s="11" t="str">
        <f>IF(종목!A12="","",종목!A12)</f>
      </c>
      <c r="B12" s="11" t="str">
        <f>IF(종목!B12="","",종목!B12)</f>
      </c>
      <c r="C12" s="11" t="str">
        <f>IF(종목!$A12="","",IF(종목!G12="","상장/정지",IF(종목!G12=0,"폐지(-100%)",IF(OR(종목!F12="",종목!F12=0),"신규상장",IFERROR(TEXT(종목!G12/종목!F12-1,"+0%;-0%"),"—")))))</f>
      </c>
      <c r="D12" s="11" t="str">
        <f>IF(종목!$A12="","",IF(종목!H12="","상장/정지",IF(종목!H12=0,"폐지(-100%)",IF(OR(종목!G12="",종목!G12=0),"신규상장",IFERROR(TEXT(종목!H12/종목!G12-1,"+0%;-0%"),"—")))))</f>
      </c>
      <c r="E12" s="11" t="str">
        <f>IF(종목!$A12="","",IF(종목!I12="","상장/정지",IF(종목!I12=0,"폐지(-100%)",IF(OR(종목!H12="",종목!H12=0),"신규상장",IFERROR(TEXT(종목!I12/종목!H12-1,"+0%;-0%"),"—")))))</f>
      </c>
      <c r="F12" s="11" t="str">
        <f>IF(종목!$A12="","",IF(종목!J12="","상장/정지",IF(종목!J12=0,"폐지(-100%)",IF(OR(종목!I12="",종목!I12=0),"신규상장",IFERROR(TEXT(종목!J12/종목!I12-1,"+0%;-0%"),"—")))))</f>
      </c>
      <c r="G12" s="11" t="str">
        <f>IF(종목!$A12="","",IF(종목!K12="","상장/정지",IF(종목!K12=0,"폐지(-100%)",IF(OR(종목!J12="",종목!J12=0),"신규상장",IFERROR(TEXT(종목!K12/종목!J12-1,"+0%;-0%"),"—")))))</f>
      </c>
    </row>
    <row r="13">
      <c r="A13" s="11" t="str">
        <f>IF(종목!A13="","",종목!A13)</f>
      </c>
      <c r="B13" s="11" t="str">
        <f>IF(종목!B13="","",종목!B13)</f>
      </c>
      <c r="C13" s="11" t="str">
        <f>IF(종목!$A13="","",IF(종목!G13="","상장/정지",IF(종목!G13=0,"폐지(-100%)",IF(OR(종목!F13="",종목!F13=0),"신규상장",IFERROR(TEXT(종목!G13/종목!F13-1,"+0%;-0%"),"—")))))</f>
      </c>
      <c r="D13" s="11" t="str">
        <f>IF(종목!$A13="","",IF(종목!H13="","상장/정지",IF(종목!H13=0,"폐지(-100%)",IF(OR(종목!G13="",종목!G13=0),"신규상장",IFERROR(TEXT(종목!H13/종목!G13-1,"+0%;-0%"),"—")))))</f>
      </c>
      <c r="E13" s="11" t="str">
        <f>IF(종목!$A13="","",IF(종목!I13="","상장/정지",IF(종목!I13=0,"폐지(-100%)",IF(OR(종목!H13="",종목!H13=0),"신규상장",IFERROR(TEXT(종목!I13/종목!H13-1,"+0%;-0%"),"—")))))</f>
      </c>
      <c r="F13" s="11" t="str">
        <f>IF(종목!$A13="","",IF(종목!J13="","상장/정지",IF(종목!J13=0,"폐지(-100%)",IF(OR(종목!I13="",종목!I13=0),"신규상장",IFERROR(TEXT(종목!J13/종목!I13-1,"+0%;-0%"),"—")))))</f>
      </c>
      <c r="G13" s="11" t="str">
        <f>IF(종목!$A13="","",IF(종목!K13="","상장/정지",IF(종목!K13=0,"폐지(-100%)",IF(OR(종목!J13="",종목!J13=0),"신규상장",IFERROR(TEXT(종목!K13/종목!J13-1,"+0%;-0%"),"—")))))</f>
      </c>
    </row>
    <row r="14">
      <c r="A14" s="11" t="str">
        <f>IF(종목!A14="","",종목!A14)</f>
      </c>
      <c r="B14" s="11" t="str">
        <f>IF(종목!B14="","",종목!B14)</f>
      </c>
      <c r="C14" s="11" t="str">
        <f>IF(종목!$A14="","",IF(종목!G14="","상장/정지",IF(종목!G14=0,"폐지(-100%)",IF(OR(종목!F14="",종목!F14=0),"신규상장",IFERROR(TEXT(종목!G14/종목!F14-1,"+0%;-0%"),"—")))))</f>
      </c>
      <c r="D14" s="11" t="str">
        <f>IF(종목!$A14="","",IF(종목!H14="","상장/정지",IF(종목!H14=0,"폐지(-100%)",IF(OR(종목!G14="",종목!G14=0),"신규상장",IFERROR(TEXT(종목!H14/종목!G14-1,"+0%;-0%"),"—")))))</f>
      </c>
      <c r="E14" s="11" t="str">
        <f>IF(종목!$A14="","",IF(종목!I14="","상장/정지",IF(종목!I14=0,"폐지(-100%)",IF(OR(종목!H14="",종목!H14=0),"신규상장",IFERROR(TEXT(종목!I14/종목!H14-1,"+0%;-0%"),"—")))))</f>
      </c>
      <c r="F14" s="11" t="str">
        <f>IF(종목!$A14="","",IF(종목!J14="","상장/정지",IF(종목!J14=0,"폐지(-100%)",IF(OR(종목!I14="",종목!I14=0),"신규상장",IFERROR(TEXT(종목!J14/종목!I14-1,"+0%;-0%"),"—")))))</f>
      </c>
      <c r="G14" s="11" t="str">
        <f>IF(종목!$A14="","",IF(종목!K14="","상장/정지",IF(종목!K14=0,"폐지(-100%)",IF(OR(종목!J14="",종목!J14=0),"신규상장",IFERROR(TEXT(종목!K14/종목!J14-1,"+0%;-0%"),"—")))))</f>
      </c>
    </row>
    <row r="15">
      <c r="A15" s="11" t="str">
        <f>IF(종목!A15="","",종목!A15)</f>
      </c>
      <c r="B15" s="11" t="str">
        <f>IF(종목!B15="","",종목!B15)</f>
      </c>
      <c r="C15" s="11" t="str">
        <f>IF(종목!$A15="","",IF(종목!G15="","상장/정지",IF(종목!G15=0,"폐지(-100%)",IF(OR(종목!F15="",종목!F15=0),"신규상장",IFERROR(TEXT(종목!G15/종목!F15-1,"+0%;-0%"),"—")))))</f>
      </c>
      <c r="D15" s="11" t="str">
        <f>IF(종목!$A15="","",IF(종목!H15="","상장/정지",IF(종목!H15=0,"폐지(-100%)",IF(OR(종목!G15="",종목!G15=0),"신규상장",IFERROR(TEXT(종목!H15/종목!G15-1,"+0%;-0%"),"—")))))</f>
      </c>
      <c r="E15" s="11" t="str">
        <f>IF(종목!$A15="","",IF(종목!I15="","상장/정지",IF(종목!I15=0,"폐지(-100%)",IF(OR(종목!H15="",종목!H15=0),"신규상장",IFERROR(TEXT(종목!I15/종목!H15-1,"+0%;-0%"),"—")))))</f>
      </c>
      <c r="F15" s="11" t="str">
        <f>IF(종목!$A15="","",IF(종목!J15="","상장/정지",IF(종목!J15=0,"폐지(-100%)",IF(OR(종목!I15="",종목!I15=0),"신규상장",IFERROR(TEXT(종목!J15/종목!I15-1,"+0%;-0%"),"—")))))</f>
      </c>
      <c r="G15" s="11" t="str">
        <f>IF(종목!$A15="","",IF(종목!K15="","상장/정지",IF(종목!K15=0,"폐지(-100%)",IF(OR(종목!J15="",종목!J15=0),"신규상장",IFERROR(TEXT(종목!K15/종목!J15-1,"+0%;-0%"),"—")))))</f>
      </c>
    </row>
    <row r="16">
      <c r="A16" s="11" t="str">
        <f>IF(종목!A16="","",종목!A16)</f>
      </c>
      <c r="B16" s="11" t="str">
        <f>IF(종목!B16="","",종목!B16)</f>
      </c>
      <c r="C16" s="11" t="str">
        <f>IF(종목!$A16="","",IF(종목!G16="","상장/정지",IF(종목!G16=0,"폐지(-100%)",IF(OR(종목!F16="",종목!F16=0),"신규상장",IFERROR(TEXT(종목!G16/종목!F16-1,"+0%;-0%"),"—")))))</f>
      </c>
      <c r="D16" s="11" t="str">
        <f>IF(종목!$A16="","",IF(종목!H16="","상장/정지",IF(종목!H16=0,"폐지(-100%)",IF(OR(종목!G16="",종목!G16=0),"신규상장",IFERROR(TEXT(종목!H16/종목!G16-1,"+0%;-0%"),"—")))))</f>
      </c>
      <c r="E16" s="11" t="str">
        <f>IF(종목!$A16="","",IF(종목!I16="","상장/정지",IF(종목!I16=0,"폐지(-100%)",IF(OR(종목!H16="",종목!H16=0),"신규상장",IFERROR(TEXT(종목!I16/종목!H16-1,"+0%;-0%"),"—")))))</f>
      </c>
      <c r="F16" s="11" t="str">
        <f>IF(종목!$A16="","",IF(종목!J16="","상장/정지",IF(종목!J16=0,"폐지(-100%)",IF(OR(종목!I16="",종목!I16=0),"신규상장",IFERROR(TEXT(종목!J16/종목!I16-1,"+0%;-0%"),"—")))))</f>
      </c>
      <c r="G16" s="11" t="str">
        <f>IF(종목!$A16="","",IF(종목!K16="","상장/정지",IF(종목!K16=0,"폐지(-100%)",IF(OR(종목!J16="",종목!J16=0),"신규상장",IFERROR(TEXT(종목!K16/종목!J16-1,"+0%;-0%"),"—")))))</f>
      </c>
    </row>
    <row r="17">
      <c r="A17" s="11" t="str">
        <f>IF(종목!A17="","",종목!A17)</f>
      </c>
      <c r="B17" s="11" t="str">
        <f>IF(종목!B17="","",종목!B17)</f>
      </c>
      <c r="C17" s="11" t="str">
        <f>IF(종목!$A17="","",IF(종목!G17="","상장/정지",IF(종목!G17=0,"폐지(-100%)",IF(OR(종목!F17="",종목!F17=0),"신규상장",IFERROR(TEXT(종목!G17/종목!F17-1,"+0%;-0%"),"—")))))</f>
      </c>
      <c r="D17" s="11" t="str">
        <f>IF(종목!$A17="","",IF(종목!H17="","상장/정지",IF(종목!H17=0,"폐지(-100%)",IF(OR(종목!G17="",종목!G17=0),"신규상장",IFERROR(TEXT(종목!H17/종목!G17-1,"+0%;-0%"),"—")))))</f>
      </c>
      <c r="E17" s="11" t="str">
        <f>IF(종목!$A17="","",IF(종목!I17="","상장/정지",IF(종목!I17=0,"폐지(-100%)",IF(OR(종목!H17="",종목!H17=0),"신규상장",IFERROR(TEXT(종목!I17/종목!H17-1,"+0%;-0%"),"—")))))</f>
      </c>
      <c r="F17" s="11" t="str">
        <f>IF(종목!$A17="","",IF(종목!J17="","상장/정지",IF(종목!J17=0,"폐지(-100%)",IF(OR(종목!I17="",종목!I17=0),"신규상장",IFERROR(TEXT(종목!J17/종목!I17-1,"+0%;-0%"),"—")))))</f>
      </c>
      <c r="G17" s="11" t="str">
        <f>IF(종목!$A17="","",IF(종목!K17="","상장/정지",IF(종목!K17=0,"폐지(-100%)",IF(OR(종목!J17="",종목!J17=0),"신규상장",IFERROR(TEXT(종목!K17/종목!J17-1,"+0%;-0%"),"—")))))</f>
      </c>
    </row>
    <row r="18">
      <c r="A18" s="11" t="str">
        <f>IF(종목!A18="","",종목!A18)</f>
      </c>
      <c r="B18" s="11" t="str">
        <f>IF(종목!B18="","",종목!B18)</f>
      </c>
      <c r="C18" s="11" t="str">
        <f>IF(종목!$A18="","",IF(종목!G18="","상장/정지",IF(종목!G18=0,"폐지(-100%)",IF(OR(종목!F18="",종목!F18=0),"신규상장",IFERROR(TEXT(종목!G18/종목!F18-1,"+0%;-0%"),"—")))))</f>
      </c>
      <c r="D18" s="11" t="str">
        <f>IF(종목!$A18="","",IF(종목!H18="","상장/정지",IF(종목!H18=0,"폐지(-100%)",IF(OR(종목!G18="",종목!G18=0),"신규상장",IFERROR(TEXT(종목!H18/종목!G18-1,"+0%;-0%"),"—")))))</f>
      </c>
      <c r="E18" s="11" t="str">
        <f>IF(종목!$A18="","",IF(종목!I18="","상장/정지",IF(종목!I18=0,"폐지(-100%)",IF(OR(종목!H18="",종목!H18=0),"신규상장",IFERROR(TEXT(종목!I18/종목!H18-1,"+0%;-0%"),"—")))))</f>
      </c>
      <c r="F18" s="11" t="str">
        <f>IF(종목!$A18="","",IF(종목!J18="","상장/정지",IF(종목!J18=0,"폐지(-100%)",IF(OR(종목!I18="",종목!I18=0),"신규상장",IFERROR(TEXT(종목!J18/종목!I18-1,"+0%;-0%"),"—")))))</f>
      </c>
      <c r="G18" s="11" t="str">
        <f>IF(종목!$A18="","",IF(종목!K18="","상장/정지",IF(종목!K18=0,"폐지(-100%)",IF(OR(종목!J18="",종목!J18=0),"신규상장",IFERROR(TEXT(종목!K18/종목!J18-1,"+0%;-0%"),"—")))))</f>
      </c>
    </row>
    <row r="19">
      <c r="A19" s="11" t="str">
        <f>IF(종목!A19="","",종목!A19)</f>
      </c>
      <c r="B19" s="11" t="str">
        <f>IF(종목!B19="","",종목!B19)</f>
      </c>
      <c r="C19" s="11" t="str">
        <f>IF(종목!$A19="","",IF(종목!G19="","상장/정지",IF(종목!G19=0,"폐지(-100%)",IF(OR(종목!F19="",종목!F19=0),"신규상장",IFERROR(TEXT(종목!G19/종목!F19-1,"+0%;-0%"),"—")))))</f>
      </c>
      <c r="D19" s="11" t="str">
        <f>IF(종목!$A19="","",IF(종목!H19="","상장/정지",IF(종목!H19=0,"폐지(-100%)",IF(OR(종목!G19="",종목!G19=0),"신규상장",IFERROR(TEXT(종목!H19/종목!G19-1,"+0%;-0%"),"—")))))</f>
      </c>
      <c r="E19" s="11" t="str">
        <f>IF(종목!$A19="","",IF(종목!I19="","상장/정지",IF(종목!I19=0,"폐지(-100%)",IF(OR(종목!H19="",종목!H19=0),"신규상장",IFERROR(TEXT(종목!I19/종목!H19-1,"+0%;-0%"),"—")))))</f>
      </c>
      <c r="F19" s="11" t="str">
        <f>IF(종목!$A19="","",IF(종목!J19="","상장/정지",IF(종목!J19=0,"폐지(-100%)",IF(OR(종목!I19="",종목!I19=0),"신규상장",IFERROR(TEXT(종목!J19/종목!I19-1,"+0%;-0%"),"—")))))</f>
      </c>
      <c r="G19" s="11" t="str">
        <f>IF(종목!$A19="","",IF(종목!K19="","상장/정지",IF(종목!K19=0,"폐지(-100%)",IF(OR(종목!J19="",종목!J19=0),"신규상장",IFERROR(TEXT(종목!K19/종목!J19-1,"+0%;-0%"),"—")))))</f>
      </c>
    </row>
    <row r="20">
      <c r="A20" s="11" t="str">
        <f>IF(종목!A20="","",종목!A20)</f>
      </c>
      <c r="B20" s="11" t="str">
        <f>IF(종목!B20="","",종목!B20)</f>
      </c>
      <c r="C20" s="11" t="str">
        <f>IF(종목!$A20="","",IF(종목!G20="","상장/정지",IF(종목!G20=0,"폐지(-100%)",IF(OR(종목!F20="",종목!F20=0),"신규상장",IFERROR(TEXT(종목!G20/종목!F20-1,"+0%;-0%"),"—")))))</f>
      </c>
      <c r="D20" s="11" t="str">
        <f>IF(종목!$A20="","",IF(종목!H20="","상장/정지",IF(종목!H20=0,"폐지(-100%)",IF(OR(종목!G20="",종목!G20=0),"신규상장",IFERROR(TEXT(종목!H20/종목!G20-1,"+0%;-0%"),"—")))))</f>
      </c>
      <c r="E20" s="11" t="str">
        <f>IF(종목!$A20="","",IF(종목!I20="","상장/정지",IF(종목!I20=0,"폐지(-100%)",IF(OR(종목!H20="",종목!H20=0),"신규상장",IFERROR(TEXT(종목!I20/종목!H20-1,"+0%;-0%"),"—")))))</f>
      </c>
      <c r="F20" s="11" t="str">
        <f>IF(종목!$A20="","",IF(종목!J20="","상장/정지",IF(종목!J20=0,"폐지(-100%)",IF(OR(종목!I20="",종목!I20=0),"신규상장",IFERROR(TEXT(종목!J20/종목!I20-1,"+0%;-0%"),"—")))))</f>
      </c>
      <c r="G20" s="11" t="str">
        <f>IF(종목!$A20="","",IF(종목!K20="","상장/정지",IF(종목!K20=0,"폐지(-100%)",IF(OR(종목!J20="",종목!J20=0),"신규상장",IFERROR(TEXT(종목!K20/종목!J20-1,"+0%;-0%"),"—")))))</f>
      </c>
    </row>
    <row r="21">
      <c r="A21" s="11" t="str">
        <f>IF(종목!A21="","",종목!A21)</f>
      </c>
      <c r="B21" s="11" t="str">
        <f>IF(종목!B21="","",종목!B21)</f>
      </c>
      <c r="C21" s="11" t="str">
        <f>IF(종목!$A21="","",IF(종목!G21="","상장/정지",IF(종목!G21=0,"폐지(-100%)",IF(OR(종목!F21="",종목!F21=0),"신규상장",IFERROR(TEXT(종목!G21/종목!F21-1,"+0%;-0%"),"—")))))</f>
      </c>
      <c r="D21" s="11" t="str">
        <f>IF(종목!$A21="","",IF(종목!H21="","상장/정지",IF(종목!H21=0,"폐지(-100%)",IF(OR(종목!G21="",종목!G21=0),"신규상장",IFERROR(TEXT(종목!H21/종목!G21-1,"+0%;-0%"),"—")))))</f>
      </c>
      <c r="E21" s="11" t="str">
        <f>IF(종목!$A21="","",IF(종목!I21="","상장/정지",IF(종목!I21=0,"폐지(-100%)",IF(OR(종목!H21="",종목!H21=0),"신규상장",IFERROR(TEXT(종목!I21/종목!H21-1,"+0%;-0%"),"—")))))</f>
      </c>
      <c r="F21" s="11" t="str">
        <f>IF(종목!$A21="","",IF(종목!J21="","상장/정지",IF(종목!J21=0,"폐지(-100%)",IF(OR(종목!I21="",종목!I21=0),"신규상장",IFERROR(TEXT(종목!J21/종목!I21-1,"+0%;-0%"),"—")))))</f>
      </c>
      <c r="G21" s="11" t="str">
        <f>IF(종목!$A21="","",IF(종목!K21="","상장/정지",IF(종목!K21=0,"폐지(-100%)",IF(OR(종목!J21="",종목!J21=0),"신규상장",IFERROR(TEXT(종목!K21/종목!J21-1,"+0%;-0%"),"—")))))</f>
      </c>
    </row>
    <row r="22">
      <c r="A22" s="11" t="str">
        <f>IF(종목!A22="","",종목!A22)</f>
      </c>
      <c r="B22" s="11" t="str">
        <f>IF(종목!B22="","",종목!B22)</f>
      </c>
      <c r="C22" s="11" t="str">
        <f>IF(종목!$A22="","",IF(종목!G22="","상장/정지",IF(종목!G22=0,"폐지(-100%)",IF(OR(종목!F22="",종목!F22=0),"신규상장",IFERROR(TEXT(종목!G22/종목!F22-1,"+0%;-0%"),"—")))))</f>
      </c>
      <c r="D22" s="11" t="str">
        <f>IF(종목!$A22="","",IF(종목!H22="","상장/정지",IF(종목!H22=0,"폐지(-100%)",IF(OR(종목!G22="",종목!G22=0),"신규상장",IFERROR(TEXT(종목!H22/종목!G22-1,"+0%;-0%"),"—")))))</f>
      </c>
      <c r="E22" s="11" t="str">
        <f>IF(종목!$A22="","",IF(종목!I22="","상장/정지",IF(종목!I22=0,"폐지(-100%)",IF(OR(종목!H22="",종목!H22=0),"신규상장",IFERROR(TEXT(종목!I22/종목!H22-1,"+0%;-0%"),"—")))))</f>
      </c>
      <c r="F22" s="11" t="str">
        <f>IF(종목!$A22="","",IF(종목!J22="","상장/정지",IF(종목!J22=0,"폐지(-100%)",IF(OR(종목!I22="",종목!I22=0),"신규상장",IFERROR(TEXT(종목!J22/종목!I22-1,"+0%;-0%"),"—")))))</f>
      </c>
      <c r="G22" s="11" t="str">
        <f>IF(종목!$A22="","",IF(종목!K22="","상장/정지",IF(종목!K22=0,"폐지(-100%)",IF(OR(종목!J22="",종목!J22=0),"신규상장",IFERROR(TEXT(종목!K22/종목!J22-1,"+0%;-0%"),"—")))))</f>
      </c>
    </row>
    <row r="23">
      <c r="A23" s="11" t="str">
        <f>IF(종목!A23="","",종목!A23)</f>
      </c>
      <c r="B23" s="11" t="str">
        <f>IF(종목!B23="","",종목!B23)</f>
      </c>
      <c r="C23" s="11" t="str">
        <f>IF(종목!$A23="","",IF(종목!G23="","상장/정지",IF(종목!G23=0,"폐지(-100%)",IF(OR(종목!F23="",종목!F23=0),"신규상장",IFERROR(TEXT(종목!G23/종목!F23-1,"+0%;-0%"),"—")))))</f>
      </c>
      <c r="D23" s="11" t="str">
        <f>IF(종목!$A23="","",IF(종목!H23="","상장/정지",IF(종목!H23=0,"폐지(-100%)",IF(OR(종목!G23="",종목!G23=0),"신규상장",IFERROR(TEXT(종목!H23/종목!G23-1,"+0%;-0%"),"—")))))</f>
      </c>
      <c r="E23" s="11" t="str">
        <f>IF(종목!$A23="","",IF(종목!I23="","상장/정지",IF(종목!I23=0,"폐지(-100%)",IF(OR(종목!H23="",종목!H23=0),"신규상장",IFERROR(TEXT(종목!I23/종목!H23-1,"+0%;-0%"),"—")))))</f>
      </c>
      <c r="F23" s="11" t="str">
        <f>IF(종목!$A23="","",IF(종목!J23="","상장/정지",IF(종목!J23=0,"폐지(-100%)",IF(OR(종목!I23="",종목!I23=0),"신규상장",IFERROR(TEXT(종목!J23/종목!I23-1,"+0%;-0%"),"—")))))</f>
      </c>
      <c r="G23" s="11" t="str">
        <f>IF(종목!$A23="","",IF(종목!K23="","상장/정지",IF(종목!K23=0,"폐지(-100%)",IF(OR(종목!J23="",종목!J23=0),"신규상장",IFERROR(TEXT(종목!K23/종목!J23-1,"+0%;-0%"),"—")))))</f>
      </c>
    </row>
    <row r="24">
      <c r="A24" s="11" t="str">
        <f>IF(종목!A24="","",종목!A24)</f>
      </c>
      <c r="B24" s="11" t="str">
        <f>IF(종목!B24="","",종목!B24)</f>
      </c>
      <c r="C24" s="11" t="str">
        <f>IF(종목!$A24="","",IF(종목!G24="","상장/정지",IF(종목!G24=0,"폐지(-100%)",IF(OR(종목!F24="",종목!F24=0),"신규상장",IFERROR(TEXT(종목!G24/종목!F24-1,"+0%;-0%"),"—")))))</f>
      </c>
      <c r="D24" s="11" t="str">
        <f>IF(종목!$A24="","",IF(종목!H24="","상장/정지",IF(종목!H24=0,"폐지(-100%)",IF(OR(종목!G24="",종목!G24=0),"신규상장",IFERROR(TEXT(종목!H24/종목!G24-1,"+0%;-0%"),"—")))))</f>
      </c>
      <c r="E24" s="11" t="str">
        <f>IF(종목!$A24="","",IF(종목!I24="","상장/정지",IF(종목!I24=0,"폐지(-100%)",IF(OR(종목!H24="",종목!H24=0),"신규상장",IFERROR(TEXT(종목!I24/종목!H24-1,"+0%;-0%"),"—")))))</f>
      </c>
      <c r="F24" s="11" t="str">
        <f>IF(종목!$A24="","",IF(종목!J24="","상장/정지",IF(종목!J24=0,"폐지(-100%)",IF(OR(종목!I24="",종목!I24=0),"신규상장",IFERROR(TEXT(종목!J24/종목!I24-1,"+0%;-0%"),"—")))))</f>
      </c>
      <c r="G24" s="11" t="str">
        <f>IF(종목!$A24="","",IF(종목!K24="","상장/정지",IF(종목!K24=0,"폐지(-100%)",IF(OR(종목!J24="",종목!J24=0),"신규상장",IFERROR(TEXT(종목!K24/종목!J24-1,"+0%;-0%"),"—")))))</f>
      </c>
    </row>
    <row r="25">
      <c r="A25" s="11" t="str">
        <f>IF(종목!A25="","",종목!A25)</f>
      </c>
      <c r="B25" s="11" t="str">
        <f>IF(종목!B25="","",종목!B25)</f>
      </c>
      <c r="C25" s="11" t="str">
        <f>IF(종목!$A25="","",IF(종목!G25="","상장/정지",IF(종목!G25=0,"폐지(-100%)",IF(OR(종목!F25="",종목!F25=0),"신규상장",IFERROR(TEXT(종목!G25/종목!F25-1,"+0%;-0%"),"—")))))</f>
      </c>
      <c r="D25" s="11" t="str">
        <f>IF(종목!$A25="","",IF(종목!H25="","상장/정지",IF(종목!H25=0,"폐지(-100%)",IF(OR(종목!G25="",종목!G25=0),"신규상장",IFERROR(TEXT(종목!H25/종목!G25-1,"+0%;-0%"),"—")))))</f>
      </c>
      <c r="E25" s="11" t="str">
        <f>IF(종목!$A25="","",IF(종목!I25="","상장/정지",IF(종목!I25=0,"폐지(-100%)",IF(OR(종목!H25="",종목!H25=0),"신규상장",IFERROR(TEXT(종목!I25/종목!H25-1,"+0%;-0%"),"—")))))</f>
      </c>
      <c r="F25" s="11" t="str">
        <f>IF(종목!$A25="","",IF(종목!J25="","상장/정지",IF(종목!J25=0,"폐지(-100%)",IF(OR(종목!I25="",종목!I25=0),"신규상장",IFERROR(TEXT(종목!J25/종목!I25-1,"+0%;-0%"),"—")))))</f>
      </c>
      <c r="G25" s="11" t="str">
        <f>IF(종목!$A25="","",IF(종목!K25="","상장/정지",IF(종목!K25=0,"폐지(-100%)",IF(OR(종목!J25="",종목!J25=0),"신규상장",IFERROR(TEXT(종목!K25/종목!J25-1,"+0%;-0%"),"—")))))</f>
      </c>
    </row>
    <row r="26">
      <c r="A26" s="11" t="str">
        <f>IF(종목!A26="","",종목!A26)</f>
      </c>
      <c r="B26" s="11" t="str">
        <f>IF(종목!B26="","",종목!B26)</f>
      </c>
      <c r="C26" s="11" t="str">
        <f>IF(종목!$A26="","",IF(종목!G26="","상장/정지",IF(종목!G26=0,"폐지(-100%)",IF(OR(종목!F26="",종목!F26=0),"신규상장",IFERROR(TEXT(종목!G26/종목!F26-1,"+0%;-0%"),"—")))))</f>
      </c>
      <c r="D26" s="11" t="str">
        <f>IF(종목!$A26="","",IF(종목!H26="","상장/정지",IF(종목!H26=0,"폐지(-100%)",IF(OR(종목!G26="",종목!G26=0),"신규상장",IFERROR(TEXT(종목!H26/종목!G26-1,"+0%;-0%"),"—")))))</f>
      </c>
      <c r="E26" s="11" t="str">
        <f>IF(종목!$A26="","",IF(종목!I26="","상장/정지",IF(종목!I26=0,"폐지(-100%)",IF(OR(종목!H26="",종목!H26=0),"신규상장",IFERROR(TEXT(종목!I26/종목!H26-1,"+0%;-0%"),"—")))))</f>
      </c>
      <c r="F26" s="11" t="str">
        <f>IF(종목!$A26="","",IF(종목!J26="","상장/정지",IF(종목!J26=0,"폐지(-100%)",IF(OR(종목!I26="",종목!I26=0),"신규상장",IFERROR(TEXT(종목!J26/종목!I26-1,"+0%;-0%"),"—")))))</f>
      </c>
      <c r="G26" s="11" t="str">
        <f>IF(종목!$A26="","",IF(종목!K26="","상장/정지",IF(종목!K26=0,"폐지(-100%)",IF(OR(종목!J26="",종목!J26=0),"신규상장",IFERROR(TEXT(종목!K26/종목!J26-1,"+0%;-0%"),"—")))))</f>
      </c>
    </row>
    <row r="27">
      <c r="A27" s="11" t="str">
        <f>IF(종목!A27="","",종목!A27)</f>
      </c>
      <c r="B27" s="11" t="str">
        <f>IF(종목!B27="","",종목!B27)</f>
      </c>
      <c r="C27" s="11" t="str">
        <f>IF(종목!$A27="","",IF(종목!G27="","상장/정지",IF(종목!G27=0,"폐지(-100%)",IF(OR(종목!F27="",종목!F27=0),"신규상장",IFERROR(TEXT(종목!G27/종목!F27-1,"+0%;-0%"),"—")))))</f>
      </c>
      <c r="D27" s="11" t="str">
        <f>IF(종목!$A27="","",IF(종목!H27="","상장/정지",IF(종목!H27=0,"폐지(-100%)",IF(OR(종목!G27="",종목!G27=0),"신규상장",IFERROR(TEXT(종목!H27/종목!G27-1,"+0%;-0%"),"—")))))</f>
      </c>
      <c r="E27" s="11" t="str">
        <f>IF(종목!$A27="","",IF(종목!I27="","상장/정지",IF(종목!I27=0,"폐지(-100%)",IF(OR(종목!H27="",종목!H27=0),"신규상장",IFERROR(TEXT(종목!I27/종목!H27-1,"+0%;-0%"),"—")))))</f>
      </c>
      <c r="F27" s="11" t="str">
        <f>IF(종목!$A27="","",IF(종목!J27="","상장/정지",IF(종목!J27=0,"폐지(-100%)",IF(OR(종목!I27="",종목!I27=0),"신규상장",IFERROR(TEXT(종목!J27/종목!I27-1,"+0%;-0%"),"—")))))</f>
      </c>
      <c r="G27" s="11" t="str">
        <f>IF(종목!$A27="","",IF(종목!K27="","상장/정지",IF(종목!K27=0,"폐지(-100%)",IF(OR(종목!J27="",종목!J27=0),"신규상장",IFERROR(TEXT(종목!K27/종목!J27-1,"+0%;-0%"),"—")))))</f>
      </c>
    </row>
    <row r="28">
      <c r="A28" s="11" t="str">
        <f>IF(종목!A28="","",종목!A28)</f>
      </c>
      <c r="B28" s="11" t="str">
        <f>IF(종목!B28="","",종목!B28)</f>
      </c>
      <c r="C28" s="11" t="str">
        <f>IF(종목!$A28="","",IF(종목!G28="","상장/정지",IF(종목!G28=0,"폐지(-100%)",IF(OR(종목!F28="",종목!F28=0),"신규상장",IFERROR(TEXT(종목!G28/종목!F28-1,"+0%;-0%"),"—")))))</f>
      </c>
      <c r="D28" s="11" t="str">
        <f>IF(종목!$A28="","",IF(종목!H28="","상장/정지",IF(종목!H28=0,"폐지(-100%)",IF(OR(종목!G28="",종목!G28=0),"신규상장",IFERROR(TEXT(종목!H28/종목!G28-1,"+0%;-0%"),"—")))))</f>
      </c>
      <c r="E28" s="11" t="str">
        <f>IF(종목!$A28="","",IF(종목!I28="","상장/정지",IF(종목!I28=0,"폐지(-100%)",IF(OR(종목!H28="",종목!H28=0),"신규상장",IFERROR(TEXT(종목!I28/종목!H28-1,"+0%;-0%"),"—")))))</f>
      </c>
      <c r="F28" s="11" t="str">
        <f>IF(종목!$A28="","",IF(종목!J28="","상장/정지",IF(종목!J28=0,"폐지(-100%)",IF(OR(종목!I28="",종목!I28=0),"신규상장",IFERROR(TEXT(종목!J28/종목!I28-1,"+0%;-0%"),"—")))))</f>
      </c>
      <c r="G28" s="11" t="str">
        <f>IF(종목!$A28="","",IF(종목!K28="","상장/정지",IF(종목!K28=0,"폐지(-100%)",IF(OR(종목!J28="",종목!J28=0),"신규상장",IFERROR(TEXT(종목!K28/종목!J28-1,"+0%;-0%"),"—")))))</f>
      </c>
    </row>
    <row r="29">
      <c r="A29" s="11" t="str">
        <f>IF(종목!A29="","",종목!A29)</f>
      </c>
      <c r="B29" s="11" t="str">
        <f>IF(종목!B29="","",종목!B29)</f>
      </c>
      <c r="C29" s="11" t="str">
        <f>IF(종목!$A29="","",IF(종목!G29="","상장/정지",IF(종목!G29=0,"폐지(-100%)",IF(OR(종목!F29="",종목!F29=0),"신규상장",IFERROR(TEXT(종목!G29/종목!F29-1,"+0%;-0%"),"—")))))</f>
      </c>
      <c r="D29" s="11" t="str">
        <f>IF(종목!$A29="","",IF(종목!H29="","상장/정지",IF(종목!H29=0,"폐지(-100%)",IF(OR(종목!G29="",종목!G29=0),"신규상장",IFERROR(TEXT(종목!H29/종목!G29-1,"+0%;-0%"),"—")))))</f>
      </c>
      <c r="E29" s="11" t="str">
        <f>IF(종목!$A29="","",IF(종목!I29="","상장/정지",IF(종목!I29=0,"폐지(-100%)",IF(OR(종목!H29="",종목!H29=0),"신규상장",IFERROR(TEXT(종목!I29/종목!H29-1,"+0%;-0%"),"—")))))</f>
      </c>
      <c r="F29" s="11" t="str">
        <f>IF(종목!$A29="","",IF(종목!J29="","상장/정지",IF(종목!J29=0,"폐지(-100%)",IF(OR(종목!I29="",종목!I29=0),"신규상장",IFERROR(TEXT(종목!J29/종목!I29-1,"+0%;-0%"),"—")))))</f>
      </c>
      <c r="G29" s="11" t="str">
        <f>IF(종목!$A29="","",IF(종목!K29="","상장/정지",IF(종목!K29=0,"폐지(-100%)",IF(OR(종목!J29="",종목!J29=0),"신규상장",IFERROR(TEXT(종목!K29/종목!J29-1,"+0%;-0%"),"—")))))</f>
      </c>
    </row>
    <row r="30">
      <c r="A30" s="11" t="str">
        <f>IF(종목!A30="","",종목!A30)</f>
      </c>
      <c r="B30" s="11" t="str">
        <f>IF(종목!B30="","",종목!B30)</f>
      </c>
      <c r="C30" s="11" t="str">
        <f>IF(종목!$A30="","",IF(종목!G30="","상장/정지",IF(종목!G30=0,"폐지(-100%)",IF(OR(종목!F30="",종목!F30=0),"신규상장",IFERROR(TEXT(종목!G30/종목!F30-1,"+0%;-0%"),"—")))))</f>
      </c>
      <c r="D30" s="11" t="str">
        <f>IF(종목!$A30="","",IF(종목!H30="","상장/정지",IF(종목!H30=0,"폐지(-100%)",IF(OR(종목!G30="",종목!G30=0),"신규상장",IFERROR(TEXT(종목!H30/종목!G30-1,"+0%;-0%"),"—")))))</f>
      </c>
      <c r="E30" s="11" t="str">
        <f>IF(종목!$A30="","",IF(종목!I30="","상장/정지",IF(종목!I30=0,"폐지(-100%)",IF(OR(종목!H30="",종목!H30=0),"신규상장",IFERROR(TEXT(종목!I30/종목!H30-1,"+0%;-0%"),"—")))))</f>
      </c>
      <c r="F30" s="11" t="str">
        <f>IF(종목!$A30="","",IF(종목!J30="","상장/정지",IF(종목!J30=0,"폐지(-100%)",IF(OR(종목!I30="",종목!I30=0),"신규상장",IFERROR(TEXT(종목!J30/종목!I30-1,"+0%;-0%"),"—")))))</f>
      </c>
      <c r="G30" s="11" t="str">
        <f>IF(종목!$A30="","",IF(종목!K30="","상장/정지",IF(종목!K30=0,"폐지(-100%)",IF(OR(종목!J30="",종목!J30=0),"신규상장",IFERROR(TEXT(종목!K30/종목!J30-1,"+0%;-0%"),"—")))))</f>
      </c>
    </row>
    <row r="31">
      <c r="A31" s="11" t="str">
        <f>IF(종목!A31="","",종목!A31)</f>
      </c>
      <c r="B31" s="11" t="str">
        <f>IF(종목!B31="","",종목!B31)</f>
      </c>
      <c r="C31" s="11" t="str">
        <f>IF(종목!$A31="","",IF(종목!G31="","상장/정지",IF(종목!G31=0,"폐지(-100%)",IF(OR(종목!F31="",종목!F31=0),"신규상장",IFERROR(TEXT(종목!G31/종목!F31-1,"+0%;-0%"),"—")))))</f>
      </c>
      <c r="D31" s="11" t="str">
        <f>IF(종목!$A31="","",IF(종목!H31="","상장/정지",IF(종목!H31=0,"폐지(-100%)",IF(OR(종목!G31="",종목!G31=0),"신규상장",IFERROR(TEXT(종목!H31/종목!G31-1,"+0%;-0%"),"—")))))</f>
      </c>
      <c r="E31" s="11" t="str">
        <f>IF(종목!$A31="","",IF(종목!I31="","상장/정지",IF(종목!I31=0,"폐지(-100%)",IF(OR(종목!H31="",종목!H31=0),"신규상장",IFERROR(TEXT(종목!I31/종목!H31-1,"+0%;-0%"),"—")))))</f>
      </c>
      <c r="F31" s="11" t="str">
        <f>IF(종목!$A31="","",IF(종목!J31="","상장/정지",IF(종목!J31=0,"폐지(-100%)",IF(OR(종목!I31="",종목!I31=0),"신규상장",IFERROR(TEXT(종목!J31/종목!I31-1,"+0%;-0%"),"—")))))</f>
      </c>
      <c r="G31" s="11" t="str">
        <f>IF(종목!$A31="","",IF(종목!K31="","상장/정지",IF(종목!K31=0,"폐지(-100%)",IF(OR(종목!J31="",종목!J31=0),"신규상장",IFERROR(TEXT(종목!K31/종목!J31-1,"+0%;-0%"),"—")))))</f>
      </c>
    </row>
    <row r="32">
      <c r="A32" s="11" t="str">
        <f>IF(종목!A32="","",종목!A32)</f>
      </c>
      <c r="B32" s="11" t="str">
        <f>IF(종목!B32="","",종목!B32)</f>
      </c>
      <c r="C32" s="11" t="str">
        <f>IF(종목!$A32="","",IF(종목!G32="","상장/정지",IF(종목!G32=0,"폐지(-100%)",IF(OR(종목!F32="",종목!F32=0),"신규상장",IFERROR(TEXT(종목!G32/종목!F32-1,"+0%;-0%"),"—")))))</f>
      </c>
      <c r="D32" s="11" t="str">
        <f>IF(종목!$A32="","",IF(종목!H32="","상장/정지",IF(종목!H32=0,"폐지(-100%)",IF(OR(종목!G32="",종목!G32=0),"신규상장",IFERROR(TEXT(종목!H32/종목!G32-1,"+0%;-0%"),"—")))))</f>
      </c>
      <c r="E32" s="11" t="str">
        <f>IF(종목!$A32="","",IF(종목!I32="","상장/정지",IF(종목!I32=0,"폐지(-100%)",IF(OR(종목!H32="",종목!H32=0),"신규상장",IFERROR(TEXT(종목!I32/종목!H32-1,"+0%;-0%"),"—")))))</f>
      </c>
      <c r="F32" s="11" t="str">
        <f>IF(종목!$A32="","",IF(종목!J32="","상장/정지",IF(종목!J32=0,"폐지(-100%)",IF(OR(종목!I32="",종목!I32=0),"신규상장",IFERROR(TEXT(종목!J32/종목!I32-1,"+0%;-0%"),"—")))))</f>
      </c>
      <c r="G32" s="11" t="str">
        <f>IF(종목!$A32="","",IF(종목!K32="","상장/정지",IF(종목!K32=0,"폐지(-100%)",IF(OR(종목!J32="",종목!J32=0),"신규상장",IFERROR(TEXT(종목!K32/종목!J32-1,"+0%;-0%"),"—")))))</f>
      </c>
    </row>
    <row r="33">
      <c r="A33" s="11" t="str">
        <f>IF(종목!A33="","",종목!A33)</f>
      </c>
      <c r="B33" s="11" t="str">
        <f>IF(종목!B33="","",종목!B33)</f>
      </c>
      <c r="C33" s="11" t="str">
        <f>IF(종목!$A33="","",IF(종목!G33="","상장/정지",IF(종목!G33=0,"폐지(-100%)",IF(OR(종목!F33="",종목!F33=0),"신규상장",IFERROR(TEXT(종목!G33/종목!F33-1,"+0%;-0%"),"—")))))</f>
      </c>
      <c r="D33" s="11" t="str">
        <f>IF(종목!$A33="","",IF(종목!H33="","상장/정지",IF(종목!H33=0,"폐지(-100%)",IF(OR(종목!G33="",종목!G33=0),"신규상장",IFERROR(TEXT(종목!H33/종목!G33-1,"+0%;-0%"),"—")))))</f>
      </c>
      <c r="E33" s="11" t="str">
        <f>IF(종목!$A33="","",IF(종목!I33="","상장/정지",IF(종목!I33=0,"폐지(-100%)",IF(OR(종목!H33="",종목!H33=0),"신규상장",IFERROR(TEXT(종목!I33/종목!H33-1,"+0%;-0%"),"—")))))</f>
      </c>
      <c r="F33" s="11" t="str">
        <f>IF(종목!$A33="","",IF(종목!J33="","상장/정지",IF(종목!J33=0,"폐지(-100%)",IF(OR(종목!I33="",종목!I33=0),"신규상장",IFERROR(TEXT(종목!J33/종목!I33-1,"+0%;-0%"),"—")))))</f>
      </c>
      <c r="G33" s="11" t="str">
        <f>IF(종목!$A33="","",IF(종목!K33="","상장/정지",IF(종목!K33=0,"폐지(-100%)",IF(OR(종목!J33="",종목!J33=0),"신규상장",IFERROR(TEXT(종목!K33/종목!J33-1,"+0%;-0%"),"—")))))</f>
      </c>
    </row>
    <row r="34">
      <c r="A34" s="11" t="str">
        <f>IF(종목!A34="","",종목!A34)</f>
      </c>
      <c r="B34" s="11" t="str">
        <f>IF(종목!B34="","",종목!B34)</f>
      </c>
      <c r="C34" s="11" t="str">
        <f>IF(종목!$A34="","",IF(종목!G34="","상장/정지",IF(종목!G34=0,"폐지(-100%)",IF(OR(종목!F34="",종목!F34=0),"신규상장",IFERROR(TEXT(종목!G34/종목!F34-1,"+0%;-0%"),"—")))))</f>
      </c>
      <c r="D34" s="11" t="str">
        <f>IF(종목!$A34="","",IF(종목!H34="","상장/정지",IF(종목!H34=0,"폐지(-100%)",IF(OR(종목!G34="",종목!G34=0),"신규상장",IFERROR(TEXT(종목!H34/종목!G34-1,"+0%;-0%"),"—")))))</f>
      </c>
      <c r="E34" s="11" t="str">
        <f>IF(종목!$A34="","",IF(종목!I34="","상장/정지",IF(종목!I34=0,"폐지(-100%)",IF(OR(종목!H34="",종목!H34=0),"신규상장",IFERROR(TEXT(종목!I34/종목!H34-1,"+0%;-0%"),"—")))))</f>
      </c>
      <c r="F34" s="11" t="str">
        <f>IF(종목!$A34="","",IF(종목!J34="","상장/정지",IF(종목!J34=0,"폐지(-100%)",IF(OR(종목!I34="",종목!I34=0),"신규상장",IFERROR(TEXT(종목!J34/종목!I34-1,"+0%;-0%"),"—")))))</f>
      </c>
      <c r="G34" s="11" t="str">
        <f>IF(종목!$A34="","",IF(종목!K34="","상장/정지",IF(종목!K34=0,"폐지(-100%)",IF(OR(종목!J34="",종목!J34=0),"신규상장",IFERROR(TEXT(종목!K34/종목!J34-1,"+0%;-0%"),"—")))))</f>
      </c>
    </row>
    <row r="35">
      <c r="A35" s="11" t="str">
        <f>IF(종목!A35="","",종목!A35)</f>
      </c>
      <c r="B35" s="11" t="str">
        <f>IF(종목!B35="","",종목!B35)</f>
      </c>
      <c r="C35" s="11" t="str">
        <f>IF(종목!$A35="","",IF(종목!G35="","상장/정지",IF(종목!G35=0,"폐지(-100%)",IF(OR(종목!F35="",종목!F35=0),"신규상장",IFERROR(TEXT(종목!G35/종목!F35-1,"+0%;-0%"),"—")))))</f>
      </c>
      <c r="D35" s="11" t="str">
        <f>IF(종목!$A35="","",IF(종목!H35="","상장/정지",IF(종목!H35=0,"폐지(-100%)",IF(OR(종목!G35="",종목!G35=0),"신규상장",IFERROR(TEXT(종목!H35/종목!G35-1,"+0%;-0%"),"—")))))</f>
      </c>
      <c r="E35" s="11" t="str">
        <f>IF(종목!$A35="","",IF(종목!I35="","상장/정지",IF(종목!I35=0,"폐지(-100%)",IF(OR(종목!H35="",종목!H35=0),"신규상장",IFERROR(TEXT(종목!I35/종목!H35-1,"+0%;-0%"),"—")))))</f>
      </c>
      <c r="F35" s="11" t="str">
        <f>IF(종목!$A35="","",IF(종목!J35="","상장/정지",IF(종목!J35=0,"폐지(-100%)",IF(OR(종목!I35="",종목!I35=0),"신규상장",IFERROR(TEXT(종목!J35/종목!I35-1,"+0%;-0%"),"—")))))</f>
      </c>
      <c r="G35" s="11" t="str">
        <f>IF(종목!$A35="","",IF(종목!K35="","상장/정지",IF(종목!K35=0,"폐지(-100%)",IF(OR(종목!J35="",종목!J35=0),"신규상장",IFERROR(TEXT(종목!K35/종목!J35-1,"+0%;-0%"),"—")))))</f>
      </c>
    </row>
    <row r="36">
      <c r="A36" s="11" t="str">
        <f>IF(종목!A36="","",종목!A36)</f>
      </c>
      <c r="B36" s="11" t="str">
        <f>IF(종목!B36="","",종목!B36)</f>
      </c>
      <c r="C36" s="11" t="str">
        <f>IF(종목!$A36="","",IF(종목!G36="","상장/정지",IF(종목!G36=0,"폐지(-100%)",IF(OR(종목!F36="",종목!F36=0),"신규상장",IFERROR(TEXT(종목!G36/종목!F36-1,"+0%;-0%"),"—")))))</f>
      </c>
      <c r="D36" s="11" t="str">
        <f>IF(종목!$A36="","",IF(종목!H36="","상장/정지",IF(종목!H36=0,"폐지(-100%)",IF(OR(종목!G36="",종목!G36=0),"신규상장",IFERROR(TEXT(종목!H36/종목!G36-1,"+0%;-0%"),"—")))))</f>
      </c>
      <c r="E36" s="11" t="str">
        <f>IF(종목!$A36="","",IF(종목!I36="","상장/정지",IF(종목!I36=0,"폐지(-100%)",IF(OR(종목!H36="",종목!H36=0),"신규상장",IFERROR(TEXT(종목!I36/종목!H36-1,"+0%;-0%"),"—")))))</f>
      </c>
      <c r="F36" s="11" t="str">
        <f>IF(종목!$A36="","",IF(종목!J36="","상장/정지",IF(종목!J36=0,"폐지(-100%)",IF(OR(종목!I36="",종목!I36=0),"신규상장",IFERROR(TEXT(종목!J36/종목!I36-1,"+0%;-0%"),"—")))))</f>
      </c>
      <c r="G36" s="11" t="str">
        <f>IF(종목!$A36="","",IF(종목!K36="","상장/정지",IF(종목!K36=0,"폐지(-100%)",IF(OR(종목!J36="",종목!J36=0),"신규상장",IFERROR(TEXT(종목!K36/종목!J36-1,"+0%;-0%"),"—")))))</f>
      </c>
    </row>
    <row r="37">
      <c r="A37" s="11" t="str">
        <f>IF(종목!A37="","",종목!A37)</f>
      </c>
      <c r="B37" s="11" t="str">
        <f>IF(종목!B37="","",종목!B37)</f>
      </c>
      <c r="C37" s="11" t="str">
        <f>IF(종목!$A37="","",IF(종목!G37="","상장/정지",IF(종목!G37=0,"폐지(-100%)",IF(OR(종목!F37="",종목!F37=0),"신규상장",IFERROR(TEXT(종목!G37/종목!F37-1,"+0%;-0%"),"—")))))</f>
      </c>
      <c r="D37" s="11" t="str">
        <f>IF(종목!$A37="","",IF(종목!H37="","상장/정지",IF(종목!H37=0,"폐지(-100%)",IF(OR(종목!G37="",종목!G37=0),"신규상장",IFERROR(TEXT(종목!H37/종목!G37-1,"+0%;-0%"),"—")))))</f>
      </c>
      <c r="E37" s="11" t="str">
        <f>IF(종목!$A37="","",IF(종목!I37="","상장/정지",IF(종목!I37=0,"폐지(-100%)",IF(OR(종목!H37="",종목!H37=0),"신규상장",IFERROR(TEXT(종목!I37/종목!H37-1,"+0%;-0%"),"—")))))</f>
      </c>
      <c r="F37" s="11" t="str">
        <f>IF(종목!$A37="","",IF(종목!J37="","상장/정지",IF(종목!J37=0,"폐지(-100%)",IF(OR(종목!I37="",종목!I37=0),"신규상장",IFERROR(TEXT(종목!J37/종목!I37-1,"+0%;-0%"),"—")))))</f>
      </c>
      <c r="G37" s="11" t="str">
        <f>IF(종목!$A37="","",IF(종목!K37="","상장/정지",IF(종목!K37=0,"폐지(-100%)",IF(OR(종목!J37="",종목!J37=0),"신규상장",IFERROR(TEXT(종목!K37/종목!J37-1,"+0%;-0%"),"—")))))</f>
      </c>
    </row>
    <row r="38">
      <c r="A38" s="11" t="str">
        <f>IF(종목!A38="","",종목!A38)</f>
      </c>
      <c r="B38" s="11" t="str">
        <f>IF(종목!B38="","",종목!B38)</f>
      </c>
      <c r="C38" s="11" t="str">
        <f>IF(종목!$A38="","",IF(종목!G38="","상장/정지",IF(종목!G38=0,"폐지(-100%)",IF(OR(종목!F38="",종목!F38=0),"신규상장",IFERROR(TEXT(종목!G38/종목!F38-1,"+0%;-0%"),"—")))))</f>
      </c>
      <c r="D38" s="11" t="str">
        <f>IF(종목!$A38="","",IF(종목!H38="","상장/정지",IF(종목!H38=0,"폐지(-100%)",IF(OR(종목!G38="",종목!G38=0),"신규상장",IFERROR(TEXT(종목!H38/종목!G38-1,"+0%;-0%"),"—")))))</f>
      </c>
      <c r="E38" s="11" t="str">
        <f>IF(종목!$A38="","",IF(종목!I38="","상장/정지",IF(종목!I38=0,"폐지(-100%)",IF(OR(종목!H38="",종목!H38=0),"신규상장",IFERROR(TEXT(종목!I38/종목!H38-1,"+0%;-0%"),"—")))))</f>
      </c>
      <c r="F38" s="11" t="str">
        <f>IF(종목!$A38="","",IF(종목!J38="","상장/정지",IF(종목!J38=0,"폐지(-100%)",IF(OR(종목!I38="",종목!I38=0),"신규상장",IFERROR(TEXT(종목!J38/종목!I38-1,"+0%;-0%"),"—")))))</f>
      </c>
      <c r="G38" s="11" t="str">
        <f>IF(종목!$A38="","",IF(종목!K38="","상장/정지",IF(종목!K38=0,"폐지(-100%)",IF(OR(종목!J38="",종목!J38=0),"신규상장",IFERROR(TEXT(종목!K38/종목!J38-1,"+0%;-0%"),"—")))))</f>
      </c>
    </row>
    <row r="39">
      <c r="A39" s="11" t="str">
        <f>IF(종목!A39="","",종목!A39)</f>
      </c>
      <c r="B39" s="11" t="str">
        <f>IF(종목!B39="","",종목!B39)</f>
      </c>
      <c r="C39" s="11" t="str">
        <f>IF(종목!$A39="","",IF(종목!G39="","상장/정지",IF(종목!G39=0,"폐지(-100%)",IF(OR(종목!F39="",종목!F39=0),"신규상장",IFERROR(TEXT(종목!G39/종목!F39-1,"+0%;-0%"),"—")))))</f>
      </c>
      <c r="D39" s="11" t="str">
        <f>IF(종목!$A39="","",IF(종목!H39="","상장/정지",IF(종목!H39=0,"폐지(-100%)",IF(OR(종목!G39="",종목!G39=0),"신규상장",IFERROR(TEXT(종목!H39/종목!G39-1,"+0%;-0%"),"—")))))</f>
      </c>
      <c r="E39" s="11" t="str">
        <f>IF(종목!$A39="","",IF(종목!I39="","상장/정지",IF(종목!I39=0,"폐지(-100%)",IF(OR(종목!H39="",종목!H39=0),"신규상장",IFERROR(TEXT(종목!I39/종목!H39-1,"+0%;-0%"),"—")))))</f>
      </c>
      <c r="F39" s="11" t="str">
        <f>IF(종목!$A39="","",IF(종목!J39="","상장/정지",IF(종목!J39=0,"폐지(-100%)",IF(OR(종목!I39="",종목!I39=0),"신규상장",IFERROR(TEXT(종목!J39/종목!I39-1,"+0%;-0%"),"—")))))</f>
      </c>
      <c r="G39" s="11" t="str">
        <f>IF(종목!$A39="","",IF(종목!K39="","상장/정지",IF(종목!K39=0,"폐지(-100%)",IF(OR(종목!J39="",종목!J39=0),"신규상장",IFERROR(TEXT(종목!K39/종목!J39-1,"+0%;-0%"),"—")))))</f>
      </c>
    </row>
    <row r="40">
      <c r="A40" s="11" t="str">
        <f>IF(종목!A40="","",종목!A40)</f>
      </c>
      <c r="B40" s="11" t="str">
        <f>IF(종목!B40="","",종목!B40)</f>
      </c>
      <c r="C40" s="11" t="str">
        <f>IF(종목!$A40="","",IF(종목!G40="","상장/정지",IF(종목!G40=0,"폐지(-100%)",IF(OR(종목!F40="",종목!F40=0),"신규상장",IFERROR(TEXT(종목!G40/종목!F40-1,"+0%;-0%"),"—")))))</f>
      </c>
      <c r="D40" s="11" t="str">
        <f>IF(종목!$A40="","",IF(종목!H40="","상장/정지",IF(종목!H40=0,"폐지(-100%)",IF(OR(종목!G40="",종목!G40=0),"신규상장",IFERROR(TEXT(종목!H40/종목!G40-1,"+0%;-0%"),"—")))))</f>
      </c>
      <c r="E40" s="11" t="str">
        <f>IF(종목!$A40="","",IF(종목!I40="","상장/정지",IF(종목!I40=0,"폐지(-100%)",IF(OR(종목!H40="",종목!H40=0),"신규상장",IFERROR(TEXT(종목!I40/종목!H40-1,"+0%;-0%"),"—")))))</f>
      </c>
      <c r="F40" s="11" t="str">
        <f>IF(종목!$A40="","",IF(종목!J40="","상장/정지",IF(종목!J40=0,"폐지(-100%)",IF(OR(종목!I40="",종목!I40=0),"신규상장",IFERROR(TEXT(종목!J40/종목!I40-1,"+0%;-0%"),"—")))))</f>
      </c>
      <c r="G40" s="11" t="str">
        <f>IF(종목!$A40="","",IF(종목!K40="","상장/정지",IF(종목!K40=0,"폐지(-100%)",IF(OR(종목!J40="",종목!J40=0),"신규상장",IFERROR(TEXT(종목!K40/종목!J40-1,"+0%;-0%"),"—")))))</f>
      </c>
    </row>
    <row r="41">
      <c r="A41" s="11" t="str">
        <f>IF(종목!A41="","",종목!A41)</f>
      </c>
      <c r="B41" s="11" t="str">
        <f>IF(종목!B41="","",종목!B41)</f>
      </c>
      <c r="C41" s="11" t="str">
        <f>IF(종목!$A41="","",IF(종목!G41="","상장/정지",IF(종목!G41=0,"폐지(-100%)",IF(OR(종목!F41="",종목!F41=0),"신규상장",IFERROR(TEXT(종목!G41/종목!F41-1,"+0%;-0%"),"—")))))</f>
      </c>
      <c r="D41" s="11" t="str">
        <f>IF(종목!$A41="","",IF(종목!H41="","상장/정지",IF(종목!H41=0,"폐지(-100%)",IF(OR(종목!G41="",종목!G41=0),"신규상장",IFERROR(TEXT(종목!H41/종목!G41-1,"+0%;-0%"),"—")))))</f>
      </c>
      <c r="E41" s="11" t="str">
        <f>IF(종목!$A41="","",IF(종목!I41="","상장/정지",IF(종목!I41=0,"폐지(-100%)",IF(OR(종목!H41="",종목!H41=0),"신규상장",IFERROR(TEXT(종목!I41/종목!H41-1,"+0%;-0%"),"—")))))</f>
      </c>
      <c r="F41" s="11" t="str">
        <f>IF(종목!$A41="","",IF(종목!J41="","상장/정지",IF(종목!J41=0,"폐지(-100%)",IF(OR(종목!I41="",종목!I41=0),"신규상장",IFERROR(TEXT(종목!J41/종목!I41-1,"+0%;-0%"),"—")))))</f>
      </c>
      <c r="G41" s="11" t="str">
        <f>IF(종목!$A41="","",IF(종목!K41="","상장/정지",IF(종목!K41=0,"폐지(-100%)",IF(OR(종목!J41="",종목!J41=0),"신규상장",IFERROR(TEXT(종목!K41/종목!J41-1,"+0%;-0%"),"—")))))</f>
      </c>
    </row>
    <row r="42">
      <c r="A42" s="11" t="str">
        <f>IF(종목!A42="","",종목!A42)</f>
      </c>
      <c r="B42" s="11" t="str">
        <f>IF(종목!B42="","",종목!B42)</f>
      </c>
      <c r="C42" s="11" t="str">
        <f>IF(종목!$A42="","",IF(종목!G42="","상장/정지",IF(종목!G42=0,"폐지(-100%)",IF(OR(종목!F42="",종목!F42=0),"신규상장",IFERROR(TEXT(종목!G42/종목!F42-1,"+0%;-0%"),"—")))))</f>
      </c>
      <c r="D42" s="11" t="str">
        <f>IF(종목!$A42="","",IF(종목!H42="","상장/정지",IF(종목!H42=0,"폐지(-100%)",IF(OR(종목!G42="",종목!G42=0),"신규상장",IFERROR(TEXT(종목!H42/종목!G42-1,"+0%;-0%"),"—")))))</f>
      </c>
      <c r="E42" s="11" t="str">
        <f>IF(종목!$A42="","",IF(종목!I42="","상장/정지",IF(종목!I42=0,"폐지(-100%)",IF(OR(종목!H42="",종목!H42=0),"신규상장",IFERROR(TEXT(종목!I42/종목!H42-1,"+0%;-0%"),"—")))))</f>
      </c>
      <c r="F42" s="11" t="str">
        <f>IF(종목!$A42="","",IF(종목!J42="","상장/정지",IF(종목!J42=0,"폐지(-100%)",IF(OR(종목!I42="",종목!I42=0),"신규상장",IFERROR(TEXT(종목!J42/종목!I42-1,"+0%;-0%"),"—")))))</f>
      </c>
      <c r="G42" s="11" t="str">
        <f>IF(종목!$A42="","",IF(종목!K42="","상장/정지",IF(종목!K42=0,"폐지(-100%)",IF(OR(종목!J42="",종목!J42=0),"신규상장",IFERROR(TEXT(종목!K42/종목!J42-1,"+0%;-0%"),"—")))))</f>
      </c>
    </row>
    <row r="43">
      <c r="A43" s="11" t="str">
        <f>IF(종목!A43="","",종목!A43)</f>
      </c>
      <c r="B43" s="11" t="str">
        <f>IF(종목!B43="","",종목!B43)</f>
      </c>
      <c r="C43" s="11" t="str">
        <f>IF(종목!$A43="","",IF(종목!G43="","상장/정지",IF(종목!G43=0,"폐지(-100%)",IF(OR(종목!F43="",종목!F43=0),"신규상장",IFERROR(TEXT(종목!G43/종목!F43-1,"+0%;-0%"),"—")))))</f>
      </c>
      <c r="D43" s="11" t="str">
        <f>IF(종목!$A43="","",IF(종목!H43="","상장/정지",IF(종목!H43=0,"폐지(-100%)",IF(OR(종목!G43="",종목!G43=0),"신규상장",IFERROR(TEXT(종목!H43/종목!G43-1,"+0%;-0%"),"—")))))</f>
      </c>
      <c r="E43" s="11" t="str">
        <f>IF(종목!$A43="","",IF(종목!I43="","상장/정지",IF(종목!I43=0,"폐지(-100%)",IF(OR(종목!H43="",종목!H43=0),"신규상장",IFERROR(TEXT(종목!I43/종목!H43-1,"+0%;-0%"),"—")))))</f>
      </c>
      <c r="F43" s="11" t="str">
        <f>IF(종목!$A43="","",IF(종목!J43="","상장/정지",IF(종목!J43=0,"폐지(-100%)",IF(OR(종목!I43="",종목!I43=0),"신규상장",IFERROR(TEXT(종목!J43/종목!I43-1,"+0%;-0%"),"—")))))</f>
      </c>
      <c r="G43" s="11" t="str">
        <f>IF(종목!$A43="","",IF(종목!K43="","상장/정지",IF(종목!K43=0,"폐지(-100%)",IF(OR(종목!J43="",종목!J43=0),"신규상장",IFERROR(TEXT(종목!K43/종목!J43-1,"+0%;-0%"),"—")))))</f>
      </c>
    </row>
    <row r="44">
      <c r="A44" s="11" t="str">
        <f>IF(종목!A44="","",종목!A44)</f>
      </c>
      <c r="B44" s="11" t="str">
        <f>IF(종목!B44="","",종목!B44)</f>
      </c>
      <c r="C44" s="11" t="str">
        <f>IF(종목!$A44="","",IF(종목!G44="","상장/정지",IF(종목!G44=0,"폐지(-100%)",IF(OR(종목!F44="",종목!F44=0),"신규상장",IFERROR(TEXT(종목!G44/종목!F44-1,"+0%;-0%"),"—")))))</f>
      </c>
      <c r="D44" s="11" t="str">
        <f>IF(종목!$A44="","",IF(종목!H44="","상장/정지",IF(종목!H44=0,"폐지(-100%)",IF(OR(종목!G44="",종목!G44=0),"신규상장",IFERROR(TEXT(종목!H44/종목!G44-1,"+0%;-0%"),"—")))))</f>
      </c>
      <c r="E44" s="11" t="str">
        <f>IF(종목!$A44="","",IF(종목!I44="","상장/정지",IF(종목!I44=0,"폐지(-100%)",IF(OR(종목!H44="",종목!H44=0),"신규상장",IFERROR(TEXT(종목!I44/종목!H44-1,"+0%;-0%"),"—")))))</f>
      </c>
      <c r="F44" s="11" t="str">
        <f>IF(종목!$A44="","",IF(종목!J44="","상장/정지",IF(종목!J44=0,"폐지(-100%)",IF(OR(종목!I44="",종목!I44=0),"신규상장",IFERROR(TEXT(종목!J44/종목!I44-1,"+0%;-0%"),"—")))))</f>
      </c>
      <c r="G44" s="11" t="str">
        <f>IF(종목!$A44="","",IF(종목!K44="","상장/정지",IF(종목!K44=0,"폐지(-100%)",IF(OR(종목!J44="",종목!J44=0),"신규상장",IFERROR(TEXT(종목!K44/종목!J44-1,"+0%;-0%"),"—")))))</f>
      </c>
    </row>
    <row r="45">
      <c r="A45" s="11" t="str">
        <f>IF(종목!A45="","",종목!A45)</f>
      </c>
      <c r="B45" s="11" t="str">
        <f>IF(종목!B45="","",종목!B45)</f>
      </c>
      <c r="C45" s="11" t="str">
        <f>IF(종목!$A45="","",IF(종목!G45="","상장/정지",IF(종목!G45=0,"폐지(-100%)",IF(OR(종목!F45="",종목!F45=0),"신규상장",IFERROR(TEXT(종목!G45/종목!F45-1,"+0%;-0%"),"—")))))</f>
      </c>
      <c r="D45" s="11" t="str">
        <f>IF(종목!$A45="","",IF(종목!H45="","상장/정지",IF(종목!H45=0,"폐지(-100%)",IF(OR(종목!G45="",종목!G45=0),"신규상장",IFERROR(TEXT(종목!H45/종목!G45-1,"+0%;-0%"),"—")))))</f>
      </c>
      <c r="E45" s="11" t="str">
        <f>IF(종목!$A45="","",IF(종목!I45="","상장/정지",IF(종목!I45=0,"폐지(-100%)",IF(OR(종목!H45="",종목!H45=0),"신규상장",IFERROR(TEXT(종목!I45/종목!H45-1,"+0%;-0%"),"—")))))</f>
      </c>
      <c r="F45" s="11" t="str">
        <f>IF(종목!$A45="","",IF(종목!J45="","상장/정지",IF(종목!J45=0,"폐지(-100%)",IF(OR(종목!I45="",종목!I45=0),"신규상장",IFERROR(TEXT(종목!J45/종목!I45-1,"+0%;-0%"),"—")))))</f>
      </c>
      <c r="G45" s="11" t="str">
        <f>IF(종목!$A45="","",IF(종목!K45="","상장/정지",IF(종목!K45=0,"폐지(-100%)",IF(OR(종목!J45="",종목!J45=0),"신규상장",IFERROR(TEXT(종목!K45/종목!J45-1,"+0%;-0%"),"—")))))</f>
      </c>
    </row>
    <row r="46">
      <c r="A46" s="11" t="str">
        <f>IF(종목!A46="","",종목!A46)</f>
      </c>
      <c r="B46" s="11" t="str">
        <f>IF(종목!B46="","",종목!B46)</f>
      </c>
      <c r="C46" s="11" t="str">
        <f>IF(종목!$A46="","",IF(종목!G46="","상장/정지",IF(종목!G46=0,"폐지(-100%)",IF(OR(종목!F46="",종목!F46=0),"신규상장",IFERROR(TEXT(종목!G46/종목!F46-1,"+0%;-0%"),"—")))))</f>
      </c>
      <c r="D46" s="11" t="str">
        <f>IF(종목!$A46="","",IF(종목!H46="","상장/정지",IF(종목!H46=0,"폐지(-100%)",IF(OR(종목!G46="",종목!G46=0),"신규상장",IFERROR(TEXT(종목!H46/종목!G46-1,"+0%;-0%"),"—")))))</f>
      </c>
      <c r="E46" s="11" t="str">
        <f>IF(종목!$A46="","",IF(종목!I46="","상장/정지",IF(종목!I46=0,"폐지(-100%)",IF(OR(종목!H46="",종목!H46=0),"신규상장",IFERROR(TEXT(종목!I46/종목!H46-1,"+0%;-0%"),"—")))))</f>
      </c>
      <c r="F46" s="11" t="str">
        <f>IF(종목!$A46="","",IF(종목!J46="","상장/정지",IF(종목!J46=0,"폐지(-100%)",IF(OR(종목!I46="",종목!I46=0),"신규상장",IFERROR(TEXT(종목!J46/종목!I46-1,"+0%;-0%"),"—")))))</f>
      </c>
      <c r="G46" s="11" t="str">
        <f>IF(종목!$A46="","",IF(종목!K46="","상장/정지",IF(종목!K46=0,"폐지(-100%)",IF(OR(종목!J46="",종목!J46=0),"신규상장",IFERROR(TEXT(종목!K46/종목!J46-1,"+0%;-0%"),"—")))))</f>
      </c>
    </row>
    <row r="47">
      <c r="A47" s="11" t="str">
        <f>IF(종목!A47="","",종목!A47)</f>
      </c>
      <c r="B47" s="11" t="str">
        <f>IF(종목!B47="","",종목!B47)</f>
      </c>
      <c r="C47" s="11" t="str">
        <f>IF(종목!$A47="","",IF(종목!G47="","상장/정지",IF(종목!G47=0,"폐지(-100%)",IF(OR(종목!F47="",종목!F47=0),"신규상장",IFERROR(TEXT(종목!G47/종목!F47-1,"+0%;-0%"),"—")))))</f>
      </c>
      <c r="D47" s="11" t="str">
        <f>IF(종목!$A47="","",IF(종목!H47="","상장/정지",IF(종목!H47=0,"폐지(-100%)",IF(OR(종목!G47="",종목!G47=0),"신규상장",IFERROR(TEXT(종목!H47/종목!G47-1,"+0%;-0%"),"—")))))</f>
      </c>
      <c r="E47" s="11" t="str">
        <f>IF(종목!$A47="","",IF(종목!I47="","상장/정지",IF(종목!I47=0,"폐지(-100%)",IF(OR(종목!H47="",종목!H47=0),"신규상장",IFERROR(TEXT(종목!I47/종목!H47-1,"+0%;-0%"),"—")))))</f>
      </c>
      <c r="F47" s="11" t="str">
        <f>IF(종목!$A47="","",IF(종목!J47="","상장/정지",IF(종목!J47=0,"폐지(-100%)",IF(OR(종목!I47="",종목!I47=0),"신규상장",IFERROR(TEXT(종목!J47/종목!I47-1,"+0%;-0%"),"—")))))</f>
      </c>
      <c r="G47" s="11" t="str">
        <f>IF(종목!$A47="","",IF(종목!K47="","상장/정지",IF(종목!K47=0,"폐지(-100%)",IF(OR(종목!J47="",종목!J47=0),"신규상장",IFERROR(TEXT(종목!K47/종목!J47-1,"+0%;-0%"),"—")))))</f>
      </c>
    </row>
    <row r="48">
      <c r="A48" s="11" t="str">
        <f>IF(종목!A48="","",종목!A48)</f>
      </c>
      <c r="B48" s="11" t="str">
        <f>IF(종목!B48="","",종목!B48)</f>
      </c>
      <c r="C48" s="11" t="str">
        <f>IF(종목!$A48="","",IF(종목!G48="","상장/정지",IF(종목!G48=0,"폐지(-100%)",IF(OR(종목!F48="",종목!F48=0),"신규상장",IFERROR(TEXT(종목!G48/종목!F48-1,"+0%;-0%"),"—")))))</f>
      </c>
      <c r="D48" s="11" t="str">
        <f>IF(종목!$A48="","",IF(종목!H48="","상장/정지",IF(종목!H48=0,"폐지(-100%)",IF(OR(종목!G48="",종목!G48=0),"신규상장",IFERROR(TEXT(종목!H48/종목!G48-1,"+0%;-0%"),"—")))))</f>
      </c>
      <c r="E48" s="11" t="str">
        <f>IF(종목!$A48="","",IF(종목!I48="","상장/정지",IF(종목!I48=0,"폐지(-100%)",IF(OR(종목!H48="",종목!H48=0),"신규상장",IFERROR(TEXT(종목!I48/종목!H48-1,"+0%;-0%"),"—")))))</f>
      </c>
      <c r="F48" s="11" t="str">
        <f>IF(종목!$A48="","",IF(종목!J48="","상장/정지",IF(종목!J48=0,"폐지(-100%)",IF(OR(종목!I48="",종목!I48=0),"신규상장",IFERROR(TEXT(종목!J48/종목!I48-1,"+0%;-0%"),"—")))))</f>
      </c>
      <c r="G48" s="11" t="str">
        <f>IF(종목!$A48="","",IF(종목!K48="","상장/정지",IF(종목!K48=0,"폐지(-100%)",IF(OR(종목!J48="",종목!J48=0),"신규상장",IFERROR(TEXT(종목!K48/종목!J48-1,"+0%;-0%"),"—")))))</f>
      </c>
    </row>
    <row r="49">
      <c r="A49" s="11" t="str">
        <f>IF(종목!A49="","",종목!A49)</f>
      </c>
      <c r="B49" s="11" t="str">
        <f>IF(종목!B49="","",종목!B49)</f>
      </c>
      <c r="C49" s="11" t="str">
        <f>IF(종목!$A49="","",IF(종목!G49="","상장/정지",IF(종목!G49=0,"폐지(-100%)",IF(OR(종목!F49="",종목!F49=0),"신규상장",IFERROR(TEXT(종목!G49/종목!F49-1,"+0%;-0%"),"—")))))</f>
      </c>
      <c r="D49" s="11" t="str">
        <f>IF(종목!$A49="","",IF(종목!H49="","상장/정지",IF(종목!H49=0,"폐지(-100%)",IF(OR(종목!G49="",종목!G49=0),"신규상장",IFERROR(TEXT(종목!H49/종목!G49-1,"+0%;-0%"),"—")))))</f>
      </c>
      <c r="E49" s="11" t="str">
        <f>IF(종목!$A49="","",IF(종목!I49="","상장/정지",IF(종목!I49=0,"폐지(-100%)",IF(OR(종목!H49="",종목!H49=0),"신규상장",IFERROR(TEXT(종목!I49/종목!H49-1,"+0%;-0%"),"—")))))</f>
      </c>
      <c r="F49" s="11" t="str">
        <f>IF(종목!$A49="","",IF(종목!J49="","상장/정지",IF(종목!J49=0,"폐지(-100%)",IF(OR(종목!I49="",종목!I49=0),"신규상장",IFERROR(TEXT(종목!J49/종목!I49-1,"+0%;-0%"),"—")))))</f>
      </c>
      <c r="G49" s="11" t="str">
        <f>IF(종목!$A49="","",IF(종목!K49="","상장/정지",IF(종목!K49=0,"폐지(-100%)",IF(OR(종목!J49="",종목!J49=0),"신규상장",IFERROR(TEXT(종목!K49/종목!J49-1,"+0%;-0%"),"—")))))</f>
      </c>
    </row>
    <row r="50">
      <c r="A50" s="11" t="str">
        <f>IF(종목!A50="","",종목!A50)</f>
      </c>
      <c r="B50" s="11" t="str">
        <f>IF(종목!B50="","",종목!B50)</f>
      </c>
      <c r="C50" s="11" t="str">
        <f>IF(종목!$A50="","",IF(종목!G50="","상장/정지",IF(종목!G50=0,"폐지(-100%)",IF(OR(종목!F50="",종목!F50=0),"신규상장",IFERROR(TEXT(종목!G50/종목!F50-1,"+0%;-0%"),"—")))))</f>
      </c>
      <c r="D50" s="11" t="str">
        <f>IF(종목!$A50="","",IF(종목!H50="","상장/정지",IF(종목!H50=0,"폐지(-100%)",IF(OR(종목!G50="",종목!G50=0),"신규상장",IFERROR(TEXT(종목!H50/종목!G50-1,"+0%;-0%"),"—")))))</f>
      </c>
      <c r="E50" s="11" t="str">
        <f>IF(종목!$A50="","",IF(종목!I50="","상장/정지",IF(종목!I50=0,"폐지(-100%)",IF(OR(종목!H50="",종목!H50=0),"신규상장",IFERROR(TEXT(종목!I50/종목!H50-1,"+0%;-0%"),"—")))))</f>
      </c>
      <c r="F50" s="11" t="str">
        <f>IF(종목!$A50="","",IF(종목!J50="","상장/정지",IF(종목!J50=0,"폐지(-100%)",IF(OR(종목!I50="",종목!I50=0),"신규상장",IFERROR(TEXT(종목!J50/종목!I50-1,"+0%;-0%"),"—")))))</f>
      </c>
      <c r="G50" s="11" t="str">
        <f>IF(종목!$A50="","",IF(종목!K50="","상장/정지",IF(종목!K50=0,"폐지(-100%)",IF(OR(종목!J50="",종목!J50=0),"신규상장",IFERROR(TEXT(종목!K50/종목!J50-1,"+0%;-0%"),"—")))))</f>
      </c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2026-08-15T05:18:04Z</dcterms:created>
  <dcterms:modified xmlns:dcterms="http://purl.org/dc/terms/" xmlns:xsi="http://www.w3.org/2001/XMLSchema-instance" xsi:type="dcterms:W3CDTF">2026-08-20T04:49:27Z</dcterms:modified>
</cp:coreProperties>
</file>