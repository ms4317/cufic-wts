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주세요" sheetId="1" state="visible" r:id="rId1"/>
    <sheet xmlns:r="http://schemas.openxmlformats.org/officeDocument/2006/relationships" name="게임설정" sheetId="2" state="visible" r:id="rId2"/>
    <sheet xmlns:r="http://schemas.openxmlformats.org/officeDocument/2006/relationships" name="종목" sheetId="3" state="visible" r:id="rId3"/>
    <sheet xmlns:r="http://schemas.openxmlformats.org/officeDocument/2006/relationships" name="재무제표" sheetId="4" state="visible" r:id="rId4"/>
    <sheet xmlns:r="http://schemas.openxmlformats.org/officeDocument/2006/relationships" name="힌트" sheetId="5" state="visible" r:id="rId5"/>
    <sheet xmlns:r="http://schemas.openxmlformats.org/officeDocument/2006/relationships" name="시황" sheetId="6" state="visible" r:id="rId6"/>
    <sheet xmlns:r="http://schemas.openxmlformats.org/officeDocument/2006/relationships" name="등락률(자동)" sheetId="7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color rgb="006B7280"/>
      <sz val="9"/>
    </font>
    <font>
      <name val="Arial"/>
      <b val="1"/>
      <color rgb="00FFFFFF"/>
      <sz val="10"/>
    </font>
    <font>
      <name val="Arial"/>
      <color rgb="006B7280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9E6"/>
      </patternFill>
    </fill>
    <fill>
      <patternFill patternType="solid">
        <fgColor rgb="006B7280"/>
      </patternFill>
    </fill>
    <fill>
      <patternFill patternType="solid">
        <fgColor rgb="00EFF6FF"/>
      </patternFill>
    </fill>
    <fill>
      <patternFill patternType="solid">
        <fgColor rgb="009CA3AF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2" fillId="3" borderId="1" pivotButton="0" quotePrefix="0" xfId="0"/>
    <xf numFmtId="0" fontId="6" fillId="4" borderId="1" applyAlignment="1" pivotButton="0" quotePrefix="0" xfId="0">
      <alignment horizontal="center"/>
    </xf>
    <xf numFmtId="0" fontId="2" fillId="5" borderId="1" pivotButton="0" quotePrefix="0" xfId="0"/>
    <xf numFmtId="0" fontId="6" fillId="6" borderId="1" applyAlignment="1" pivotButton="0" quotePrefix="0" xfId="0">
      <alignment horizontal="center"/>
    </xf>
    <xf numFmtId="0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Type="http://schemas.openxmlformats.org/officeDocument/2006/relationships/worksheet" Target="/xl/worksheets/sheet7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CUFIC WTS 게임 데이터셋 제작 양식 (v4)</t>
        </is>
      </c>
    </row>
    <row r="2"/>
    <row r="3">
      <c r="A3" s="2" t="inlineStr">
        <is>
          <t>이 파일의 시트 5개를 채우면 게임 한 판이 완성됩니다.</t>
        </is>
      </c>
    </row>
    <row r="4">
      <c r="A4" s="3" t="inlineStr">
        <is>
          <t>노란 칸 = 꼭 채우는 곳 / 파란 칸 = 선택 (비워도 됨, 헤더에 "(선택)" 표시)</t>
        </is>
      </c>
    </row>
    <row r="5">
      <c r="A5" s="2" t="inlineStr">
        <is>
          <t>지금 들어있는 내용은 "기본 데이터셋 (2025)" 예시입니다 — 지우지 말고 고쳐 쓰는 걸 추천해요.</t>
        </is>
      </c>
    </row>
    <row r="6">
      <c r="A6" s="2" t="inlineStr">
        <is>
          <t>종목·힌트 개수는 자유입니다. 행을 추가/삭제하면 그대로 게임 구성이 돼요. (힌트는 라운드당 등급별 1개 이상 권장)</t>
        </is>
      </c>
    </row>
    <row r="7"/>
    <row r="8">
      <c r="A8" s="4" t="inlineStr">
        <is>
          <t>★ 가격은 두 가지 방법으로 쓸 수 있어요</t>
        </is>
      </c>
    </row>
    <row r="9">
      <c r="A9" s="2" t="inlineStr">
        <is>
          <t xml:space="preserve">  · 그냥 숫자 = 가격(원)  (예: 7300)</t>
        </is>
      </c>
    </row>
    <row r="10">
      <c r="A10" s="2" t="inlineStr">
        <is>
          <t xml:space="preserve">  · %를 붙이면 = 전년 대비 등락률 → 업로드할 때 자동으로 가격으로 계산돼요  (예: +80%, -25%)</t>
        </is>
      </c>
    </row>
    <row r="11">
      <c r="A11" s="2" t="inlineStr">
        <is>
          <t xml:space="preserve">  · 단, 종목이 처음 등장하는 연도는 반드시 가격(숫자)으로! (기준점이 필요해요)</t>
        </is>
      </c>
    </row>
    <row r="12">
      <c r="A12" s="2" t="inlineStr">
        <is>
          <t xml:space="preserve">  · 섞어 써도 됩니다: 2020=7300, 2021=+80%, 2022=17700 처럼</t>
        </is>
      </c>
    </row>
    <row r="13"/>
    <row r="14">
      <c r="A14" s="4" t="inlineStr">
        <is>
          <t>작성 순서 (이 순서대로!)</t>
        </is>
      </c>
    </row>
    <row r="15">
      <c r="A15" s="2" t="inlineStr">
        <is>
          <t xml:space="preserve">  ① 게임설정 — 라운드 수·연도·시드 확정</t>
        </is>
      </c>
    </row>
    <row r="16">
      <c r="A16" s="2" t="inlineStr">
        <is>
          <t xml:space="preserve">  ② 종목 — 종목 이름·소개와 연도별 가격 (게임의 뼈대. 가격을 먼저 완성해야 힌트를 맞출 수 있어요)</t>
        </is>
      </c>
    </row>
    <row r="17">
      <c r="A17" s="2" t="inlineStr">
        <is>
          <t xml:space="preserve">  ③ 재무제표 — 가격 흐름과 방향이 맞게 (주가 떨어지는 해에 실적이 좋아지면 안 돼요)</t>
        </is>
      </c>
    </row>
    <row r="18">
      <c r="A18" s="2" t="inlineStr">
        <is>
          <t xml:space="preserve">  ④ 힌트 — 라운드×등급별. ★제일 중요: R라운드 힌트는 "그 해 → 다음 해" 변동의 예고예요</t>
        </is>
      </c>
    </row>
    <row r="19">
      <c r="A19" s="2" t="inlineStr">
        <is>
          <t xml:space="preserve">  ⑤ 시황 — 연도별 거시 지표 (실제 역사 기반이면 사실에 가깝게)</t>
        </is>
      </c>
    </row>
    <row r="20"/>
    <row r="21">
      <c r="A21" s="4" t="inlineStr">
        <is>
          <t>꼭 지킬 규칙</t>
        </is>
      </c>
    </row>
    <row r="22">
      <c r="A22" s="2" t="inlineStr">
        <is>
          <t xml:space="preserve">  · 가격 0 또는 빈칸 = 거래정지/상장폐지로 동작 (의도할 때만!) — 0인 해 다음에는 %를 쓸 수 없어요</t>
        </is>
      </c>
    </row>
    <row r="23">
      <c r="A23" s="2" t="inlineStr">
        <is>
          <t xml:space="preserve">  · 신규상장 종목은 상장 전 연도 가격을 비워두세요</t>
        </is>
      </c>
    </row>
    <row r="24">
      <c r="A24" s="2" t="inlineStr">
        <is>
          <t xml:space="preserve">  · 힌트의 "방향·관련 종목"은 선택이지만, 채우면 업로드할 때 문구↔실제 등락 모순을 자동으로 잡아줘요</t>
        </is>
      </c>
    </row>
    <row r="25">
      <c r="A25" s="2" t="inlineStr">
        <is>
          <t xml:space="preserve">    (특정 종목을 가리키는 힌트라면 채우는 걸 강력 추천!)</t>
        </is>
      </c>
    </row>
    <row r="26">
      <c r="A26" s="2" t="inlineStr">
        <is>
          <t xml:space="preserve">  · 다 채우면 개발팀에 전달 → 관리자 화면 업로드 → 자동 검증 → 데이터셋 완성</t>
        </is>
      </c>
    </row>
    <row r="27">
      <c r="A27" s="2" t="inlineStr">
        <is>
          <t xml:space="preserve">  · 재무제표 시트의 회색 열은 자동계산이에요 — 입력하면서 자본·이익·비율을 바로 확인하세요 (자본잠식이 뜨면 부채가 자산보다 큰 거예요)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</cols>
  <sheetData>
    <row r="1">
      <c r="A1" s="1" t="inlineStr">
        <is>
          <t>① 게임설정</t>
        </is>
      </c>
    </row>
    <row r="2">
      <c r="A2" s="5" t="inlineStr">
        <is>
          <t>항목 이름(A열)은 바꾸지 말고 값(B열)만 수정하세요. 라운드 연도는 ②종목 시트의 가격 열과 일치해야 해요.</t>
        </is>
      </c>
    </row>
    <row r="4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총 라운드 수</t>
        </is>
      </c>
      <c r="B5" s="7" t="n">
        <v>5</v>
      </c>
      <c r="C5" s="7" t="inlineStr">
        <is>
          <t>보통 5</t>
        </is>
      </c>
    </row>
    <row r="6">
      <c r="A6" s="7" t="inlineStr">
        <is>
          <t>시작 시드머니(원)</t>
        </is>
      </c>
      <c r="B6" s="7" t="n">
        <v>100000000</v>
      </c>
      <c r="C6" s="7" t="inlineStr">
        <is>
          <t>전 조 동일</t>
        </is>
      </c>
    </row>
    <row r="7">
      <c r="A7" s="7" t="inlineStr">
        <is>
          <t>타이머(초)</t>
        </is>
      </c>
      <c r="B7" s="7" t="n">
        <v>600</v>
      </c>
      <c r="C7" s="7" t="inlineStr">
        <is>
          <t>600 = 10분</t>
        </is>
      </c>
    </row>
    <row r="8">
      <c r="A8" s="7" t="inlineStr">
        <is>
          <t>최종 정산 연도</t>
        </is>
      </c>
      <c r="B8" s="7" t="n">
        <v>2025</v>
      </c>
      <c r="C8" s="7" t="inlineStr">
        <is>
          <t>대회 종료 시 이 연도 가격으로 최종 평가</t>
        </is>
      </c>
    </row>
    <row r="9">
      <c r="A9" s="7" t="inlineStr">
        <is>
          <t>R1 연도</t>
        </is>
      </c>
      <c r="B9" s="7" t="n">
        <v>2020</v>
      </c>
      <c r="C9" s="7" t="inlineStr">
        <is>
          <t>1라운드에서 거래하는 연도</t>
        </is>
      </c>
    </row>
    <row r="10">
      <c r="A10" s="7" t="inlineStr">
        <is>
          <t>R2 연도</t>
        </is>
      </c>
      <c r="B10" s="7" t="n">
        <v>2021</v>
      </c>
      <c r="C10" s="7" t="inlineStr">
        <is>
          <t>2라운드에서 거래하는 연도</t>
        </is>
      </c>
    </row>
    <row r="11">
      <c r="A11" s="7" t="inlineStr">
        <is>
          <t>R3 연도</t>
        </is>
      </c>
      <c r="B11" s="7" t="n">
        <v>2022</v>
      </c>
      <c r="C11" s="7" t="inlineStr">
        <is>
          <t>3라운드에서 거래하는 연도</t>
        </is>
      </c>
    </row>
    <row r="12">
      <c r="A12" s="7" t="inlineStr">
        <is>
          <t>R4 연도</t>
        </is>
      </c>
      <c r="B12" s="7" t="n">
        <v>2023</v>
      </c>
      <c r="C12" s="7" t="inlineStr">
        <is>
          <t>4라운드에서 거래하는 연도</t>
        </is>
      </c>
    </row>
    <row r="13">
      <c r="A13" s="7" t="inlineStr">
        <is>
          <t>R5 연도</t>
        </is>
      </c>
      <c r="B13" s="7" t="n">
        <v>2024</v>
      </c>
      <c r="C13" s="7" t="inlineStr">
        <is>
          <t>5라운드에서 거래하는 연도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② 종목과 연도별 가격</t>
        </is>
      </c>
    </row>
    <row r="2">
      <c r="A2" s="5" t="inlineStr">
        <is>
          <t>한 행 = 종목 하나. ID는 S01, S02… 순서로. 가격 칸: 숫자=가격(원), %붙이면=전년 대비 등락률(예: +80%). 첫 등장 연도는 반드시 가격! 빈칸/0 = 거래정지·미상장. 행 추가/삭제 자유.</t>
        </is>
      </c>
    </row>
    <row r="4">
      <c r="A4" s="6" t="inlineStr">
        <is>
          <t>ID</t>
        </is>
      </c>
      <c r="B4" s="6" t="inlineStr">
        <is>
          <t>종목명</t>
        </is>
      </c>
      <c r="C4" s="6" t="inlineStr">
        <is>
          <t>한 줄 소개</t>
        </is>
      </c>
      <c r="D4" s="8" t="inlineStr">
        <is>
          <t>업종 (선택)</t>
        </is>
      </c>
      <c r="E4" s="6" t="inlineStr">
        <is>
          <t>상장라운드</t>
        </is>
      </c>
      <c r="F4" s="6" t="inlineStr">
        <is>
          <t>2020년 가격</t>
        </is>
      </c>
      <c r="G4" s="6" t="inlineStr">
        <is>
          <t>2021년 가격</t>
        </is>
      </c>
      <c r="H4" s="6" t="inlineStr">
        <is>
          <t>2022년 가격</t>
        </is>
      </c>
      <c r="I4" s="6" t="inlineStr">
        <is>
          <t>2023년 가격</t>
        </is>
      </c>
      <c r="J4" s="6" t="inlineStr">
        <is>
          <t>2024년 가격</t>
        </is>
      </c>
      <c r="K4" s="6" t="inlineStr">
        <is>
          <t>2025년 가격</t>
        </is>
      </c>
    </row>
    <row r="5">
      <c r="A5" s="7"/>
      <c r="B5" s="7"/>
      <c r="C5" s="7"/>
      <c r="D5" s="9"/>
      <c r="E5" s="7"/>
      <c r="F5" s="7"/>
      <c r="G5" s="7"/>
      <c r="H5" s="7"/>
      <c r="I5" s="7"/>
      <c r="J5" s="7"/>
      <c r="K5" s="7"/>
    </row>
    <row r="6">
      <c r="A6" s="7"/>
      <c r="B6" s="7"/>
      <c r="C6" s="7"/>
      <c r="D6" s="9"/>
      <c r="E6" s="7"/>
      <c r="F6" s="7"/>
      <c r="G6" s="7"/>
      <c r="H6" s="7"/>
      <c r="I6" s="7"/>
      <c r="J6" s="7"/>
      <c r="K6" s="7"/>
    </row>
    <row r="7">
      <c r="A7" s="7"/>
      <c r="B7" s="7"/>
      <c r="C7" s="7"/>
      <c r="D7" s="9"/>
      <c r="E7" s="7"/>
      <c r="F7" s="7"/>
      <c r="G7" s="7"/>
      <c r="H7" s="7"/>
      <c r="I7" s="7"/>
      <c r="J7" s="7"/>
      <c r="K7" s="7"/>
    </row>
    <row r="8">
      <c r="A8" s="7"/>
      <c r="B8" s="7"/>
      <c r="C8" s="7"/>
      <c r="D8" s="9"/>
      <c r="E8" s="7"/>
      <c r="F8" s="7"/>
      <c r="G8" s="7"/>
      <c r="H8" s="7"/>
      <c r="I8" s="7"/>
      <c r="J8" s="7"/>
      <c r="K8" s="7"/>
    </row>
    <row r="9">
      <c r="A9" s="7"/>
      <c r="B9" s="7"/>
      <c r="C9" s="7"/>
      <c r="D9" s="9"/>
      <c r="E9" s="7"/>
      <c r="F9" s="7"/>
      <c r="G9" s="7"/>
      <c r="H9" s="7"/>
      <c r="I9" s="7"/>
      <c r="J9" s="7"/>
      <c r="K9" s="7"/>
    </row>
    <row r="10">
      <c r="A10" s="7"/>
      <c r="B10" s="7"/>
      <c r="C10" s="7"/>
      <c r="D10" s="9"/>
      <c r="E10" s="7"/>
      <c r="F10" s="7"/>
      <c r="G10" s="7"/>
      <c r="H10" s="7"/>
      <c r="I10" s="7"/>
      <c r="J10" s="7"/>
      <c r="K10" s="7"/>
    </row>
    <row r="11">
      <c r="A11" s="7"/>
      <c r="B11" s="7"/>
      <c r="C11" s="7"/>
      <c r="D11" s="9"/>
      <c r="E11" s="7"/>
      <c r="F11" s="7"/>
      <c r="G11" s="7"/>
      <c r="H11" s="7"/>
      <c r="I11" s="7"/>
      <c r="J11" s="7"/>
      <c r="K11" s="7"/>
    </row>
    <row r="12">
      <c r="A12" s="7"/>
      <c r="B12" s="7"/>
      <c r="C12" s="7"/>
      <c r="D12" s="9"/>
      <c r="E12" s="7"/>
      <c r="F12" s="7"/>
      <c r="G12" s="7"/>
      <c r="H12" s="7"/>
      <c r="I12" s="7"/>
      <c r="J12" s="7"/>
      <c r="K12" s="7"/>
    </row>
    <row r="13">
      <c r="A13" s="7"/>
      <c r="B13" s="7"/>
      <c r="C13" s="7"/>
      <c r="D13" s="9"/>
      <c r="E13" s="7"/>
      <c r="F13" s="7"/>
      <c r="G13" s="7"/>
      <c r="H13" s="7"/>
      <c r="I13" s="7"/>
      <c r="J13" s="7"/>
      <c r="K13" s="7"/>
    </row>
    <row r="14">
      <c r="A14" s="7"/>
      <c r="B14" s="7"/>
      <c r="C14" s="7"/>
      <c r="D14" s="9"/>
      <c r="E14" s="7"/>
      <c r="F14" s="7"/>
      <c r="G14" s="7"/>
      <c r="H14" s="7"/>
      <c r="I14" s="7"/>
      <c r="J14" s="7"/>
      <c r="K14" s="7"/>
    </row>
    <row r="15">
      <c r="A15" s="7"/>
      <c r="B15" s="7"/>
      <c r="C15" s="7"/>
      <c r="D15" s="9"/>
      <c r="E15" s="7"/>
      <c r="F15" s="7"/>
      <c r="G15" s="7"/>
      <c r="H15" s="7"/>
      <c r="I15" s="7"/>
      <c r="J15" s="7"/>
      <c r="K15" s="7"/>
    </row>
    <row r="16">
      <c r="A16" s="7"/>
      <c r="B16" s="7"/>
      <c r="C16" s="7"/>
      <c r="D16" s="9"/>
      <c r="E16" s="7"/>
      <c r="F16" s="7"/>
      <c r="G16" s="7"/>
      <c r="H16" s="7"/>
      <c r="I16" s="7"/>
      <c r="J16" s="7"/>
      <c r="K16" s="7"/>
    </row>
    <row r="17">
      <c r="A17" s="7"/>
      <c r="B17" s="7"/>
      <c r="C17" s="7"/>
      <c r="D17" s="9"/>
      <c r="E17" s="7"/>
      <c r="F17" s="7"/>
      <c r="G17" s="7"/>
      <c r="H17" s="7"/>
      <c r="I17" s="7"/>
      <c r="J17" s="7"/>
      <c r="K17" s="7"/>
    </row>
    <row r="18">
      <c r="A18" s="7"/>
      <c r="B18" s="7"/>
      <c r="C18" s="7"/>
      <c r="D18" s="9"/>
      <c r="E18" s="7"/>
      <c r="F18" s="7"/>
      <c r="G18" s="7"/>
      <c r="H18" s="7"/>
      <c r="I18" s="7"/>
      <c r="J18" s="7"/>
      <c r="K18" s="7"/>
    </row>
    <row r="19">
      <c r="A19" s="7"/>
      <c r="B19" s="7"/>
      <c r="C19" s="7"/>
      <c r="D19" s="9"/>
      <c r="E19" s="7"/>
      <c r="F19" s="7"/>
      <c r="G19" s="7"/>
      <c r="H19" s="7"/>
      <c r="I19" s="7"/>
      <c r="J19" s="7"/>
      <c r="K19" s="7"/>
    </row>
    <row r="20">
      <c r="A20" s="7"/>
      <c r="B20" s="7"/>
      <c r="C20" s="7"/>
      <c r="D20" s="9"/>
      <c r="E20" s="7"/>
      <c r="F20" s="7"/>
      <c r="G20" s="7"/>
      <c r="H20" s="7"/>
      <c r="I20" s="7"/>
      <c r="J20" s="7"/>
      <c r="K20" s="7"/>
    </row>
    <row r="21">
      <c r="A21" s="7"/>
      <c r="B21" s="7"/>
      <c r="C21" s="7"/>
      <c r="D21" s="9"/>
      <c r="E21" s="7"/>
      <c r="F21" s="7"/>
      <c r="G21" s="7"/>
      <c r="H21" s="7"/>
      <c r="I21" s="7"/>
      <c r="J21" s="7"/>
      <c r="K21" s="7"/>
    </row>
    <row r="22">
      <c r="A22" s="7"/>
      <c r="B22" s="7"/>
      <c r="C22" s="7"/>
      <c r="D22" s="9"/>
      <c r="E22" s="7"/>
      <c r="F22" s="7"/>
      <c r="G22" s="7"/>
      <c r="H22" s="7"/>
      <c r="I22" s="7"/>
      <c r="J22" s="7"/>
      <c r="K22" s="7"/>
    </row>
    <row r="23">
      <c r="A23" s="7"/>
      <c r="B23" s="7"/>
      <c r="C23" s="7"/>
      <c r="D23" s="9"/>
      <c r="E23" s="7"/>
      <c r="F23" s="7"/>
      <c r="G23" s="7"/>
      <c r="H23" s="7"/>
      <c r="I23" s="7"/>
      <c r="J23" s="7"/>
      <c r="K23" s="7"/>
    </row>
    <row r="24">
      <c r="A24" s="7"/>
      <c r="B24" s="7"/>
      <c r="C24" s="7"/>
      <c r="D24" s="9"/>
      <c r="E24" s="7"/>
      <c r="F24" s="7"/>
      <c r="G24" s="7"/>
      <c r="H24" s="7"/>
      <c r="I24" s="7"/>
      <c r="J24" s="7"/>
      <c r="K24" s="7"/>
    </row>
    <row r="25">
      <c r="A25" s="7"/>
      <c r="B25" s="7"/>
      <c r="C25" s="7"/>
      <c r="D25" s="9"/>
      <c r="E25" s="7"/>
      <c r="F25" s="7"/>
      <c r="G25" s="7"/>
      <c r="H25" s="7"/>
      <c r="I25" s="7"/>
      <c r="J25" s="7"/>
      <c r="K25" s="7"/>
    </row>
    <row r="26">
      <c r="A26" s="7"/>
      <c r="B26" s="7"/>
      <c r="C26" s="7"/>
      <c r="D26" s="9"/>
      <c r="E26" s="7"/>
      <c r="F26" s="7"/>
      <c r="G26" s="7"/>
      <c r="H26" s="7"/>
      <c r="I26" s="7"/>
      <c r="J26" s="7"/>
      <c r="K26" s="7"/>
    </row>
    <row r="27">
      <c r="A27" s="7"/>
      <c r="B27" s="7"/>
      <c r="C27" s="7"/>
      <c r="D27" s="9"/>
      <c r="E27" s="7"/>
      <c r="F27" s="7"/>
      <c r="G27" s="7"/>
      <c r="H27" s="7"/>
      <c r="I27" s="7"/>
      <c r="J27" s="7"/>
      <c r="K27" s="7"/>
    </row>
    <row r="28">
      <c r="A28" s="7"/>
      <c r="B28" s="7"/>
      <c r="C28" s="7"/>
      <c r="D28" s="9"/>
      <c r="E28" s="7"/>
      <c r="F28" s="7"/>
      <c r="G28" s="7"/>
      <c r="H28" s="7"/>
      <c r="I28" s="7"/>
      <c r="J28" s="7"/>
      <c r="K28" s="7"/>
    </row>
    <row r="29">
      <c r="A29" s="7"/>
      <c r="B29" s="7"/>
      <c r="C29" s="7"/>
      <c r="D29" s="9"/>
      <c r="E29" s="7"/>
      <c r="F29" s="7"/>
      <c r="G29" s="7"/>
      <c r="H29" s="7"/>
      <c r="I29" s="7"/>
      <c r="J29" s="7"/>
      <c r="K29" s="7"/>
    </row>
    <row r="30">
      <c r="A30" s="7"/>
      <c r="B30" s="7"/>
      <c r="C30" s="7"/>
      <c r="D30" s="9"/>
      <c r="E30" s="7"/>
      <c r="F30" s="7"/>
      <c r="G30" s="7"/>
      <c r="H30" s="7"/>
      <c r="I30" s="7"/>
      <c r="J30" s="7"/>
      <c r="K30" s="7"/>
    </row>
    <row r="31">
      <c r="A31" s="7"/>
      <c r="B31" s="7"/>
      <c r="C31" s="7"/>
      <c r="D31" s="9"/>
      <c r="E31" s="7"/>
      <c r="F31" s="7"/>
      <c r="G31" s="7"/>
      <c r="H31" s="7"/>
      <c r="I31" s="7"/>
      <c r="J31" s="7"/>
      <c r="K31" s="7"/>
    </row>
    <row r="32">
      <c r="A32" s="7"/>
      <c r="B32" s="7"/>
      <c r="C32" s="7"/>
      <c r="D32" s="9"/>
      <c r="E32" s="7"/>
      <c r="F32" s="7"/>
      <c r="G32" s="7"/>
      <c r="H32" s="7"/>
      <c r="I32" s="7"/>
      <c r="J32" s="7"/>
      <c r="K32" s="7"/>
    </row>
    <row r="33">
      <c r="A33" s="7"/>
      <c r="B33" s="7"/>
      <c r="C33" s="7"/>
      <c r="D33" s="9"/>
      <c r="E33" s="7"/>
      <c r="F33" s="7"/>
      <c r="G33" s="7"/>
      <c r="H33" s="7"/>
      <c r="I33" s="7"/>
      <c r="J33" s="7"/>
      <c r="K33" s="7"/>
    </row>
    <row r="34">
      <c r="A34" s="7"/>
      <c r="B34" s="7"/>
      <c r="C34" s="7"/>
      <c r="D34" s="9"/>
      <c r="E34" s="7"/>
      <c r="F34" s="7"/>
      <c r="G34" s="7"/>
      <c r="H34" s="7"/>
      <c r="I34" s="7"/>
      <c r="J34" s="7"/>
      <c r="K34" s="7"/>
    </row>
    <row r="35">
      <c r="A35" s="7"/>
      <c r="B35" s="7"/>
      <c r="C35" s="7"/>
      <c r="D35" s="9"/>
      <c r="E35" s="7"/>
      <c r="F35" s="7"/>
      <c r="G35" s="7"/>
      <c r="H35" s="7"/>
      <c r="I35" s="7"/>
      <c r="J35" s="7"/>
      <c r="K35" s="7"/>
    </row>
    <row r="36">
      <c r="A36" s="7"/>
      <c r="B36" s="7"/>
      <c r="C36" s="7"/>
      <c r="D36" s="9"/>
      <c r="E36" s="7"/>
      <c r="F36" s="7"/>
      <c r="G36" s="7"/>
      <c r="H36" s="7"/>
      <c r="I36" s="7"/>
      <c r="J36" s="7"/>
      <c r="K36" s="7"/>
    </row>
    <row r="37">
      <c r="A37" s="7"/>
      <c r="B37" s="7"/>
      <c r="C37" s="7"/>
      <c r="D37" s="9"/>
      <c r="E37" s="7"/>
      <c r="F37" s="7"/>
      <c r="G37" s="7"/>
      <c r="H37" s="7"/>
      <c r="I37" s="7"/>
      <c r="J37" s="7"/>
      <c r="K37" s="7"/>
    </row>
    <row r="38">
      <c r="A38" s="7"/>
      <c r="B38" s="7"/>
      <c r="C38" s="7"/>
      <c r="D38" s="9"/>
      <c r="E38" s="7"/>
      <c r="F38" s="7"/>
      <c r="G38" s="7"/>
      <c r="H38" s="7"/>
      <c r="I38" s="7"/>
      <c r="J38" s="7"/>
      <c r="K38" s="7"/>
    </row>
    <row r="39">
      <c r="A39" s="7"/>
      <c r="B39" s="7"/>
      <c r="C39" s="7"/>
      <c r="D39" s="9"/>
      <c r="E39" s="7"/>
      <c r="F39" s="7"/>
      <c r="G39" s="7"/>
      <c r="H39" s="7"/>
      <c r="I39" s="7"/>
      <c r="J39" s="7"/>
      <c r="K39" s="7"/>
    </row>
    <row r="40">
      <c r="A40" s="7"/>
      <c r="B40" s="7"/>
      <c r="C40" s="7"/>
      <c r="D40" s="9"/>
      <c r="E40" s="7"/>
      <c r="F40" s="7"/>
      <c r="G40" s="7"/>
      <c r="H40" s="7"/>
      <c r="I40" s="7"/>
      <c r="J40" s="7"/>
      <c r="K40" s="7"/>
    </row>
    <row r="41">
      <c r="A41" s="7"/>
      <c r="B41" s="7"/>
      <c r="C41" s="7"/>
      <c r="D41" s="9"/>
      <c r="E41" s="7"/>
      <c r="F41" s="7"/>
      <c r="G41" s="7"/>
      <c r="H41" s="7"/>
      <c r="I41" s="7"/>
      <c r="J41" s="7"/>
      <c r="K41" s="7"/>
    </row>
    <row r="42">
      <c r="A42" s="7"/>
      <c r="B42" s="7"/>
      <c r="C42" s="7"/>
      <c r="D42" s="9"/>
      <c r="E42" s="7"/>
      <c r="F42" s="7"/>
      <c r="G42" s="7"/>
      <c r="H42" s="7"/>
      <c r="I42" s="7"/>
      <c r="J42" s="7"/>
      <c r="K42" s="7"/>
    </row>
    <row r="43">
      <c r="A43" s="7"/>
      <c r="B43" s="7"/>
      <c r="C43" s="7"/>
      <c r="D43" s="9"/>
      <c r="E43" s="7"/>
      <c r="F43" s="7"/>
      <c r="G43" s="7"/>
      <c r="H43" s="7"/>
      <c r="I43" s="7"/>
      <c r="J43" s="7"/>
      <c r="K43" s="7"/>
    </row>
    <row r="44">
      <c r="A44" s="7"/>
      <c r="B44" s="7"/>
      <c r="C44" s="7"/>
      <c r="D44" s="9"/>
      <c r="E44" s="7"/>
      <c r="F44" s="7"/>
      <c r="G44" s="7"/>
      <c r="H44" s="7"/>
      <c r="I44" s="7"/>
      <c r="J44" s="7"/>
      <c r="K44" s="7"/>
    </row>
    <row r="45">
      <c r="A45" s="7"/>
      <c r="B45" s="7"/>
      <c r="C45" s="7"/>
      <c r="D45" s="9"/>
      <c r="E45" s="7"/>
      <c r="F45" s="7"/>
      <c r="G45" s="7"/>
      <c r="H45" s="7"/>
      <c r="I45" s="7"/>
      <c r="J45" s="7"/>
      <c r="K45" s="7"/>
    </row>
    <row r="46">
      <c r="A46" s="7"/>
      <c r="B46" s="7"/>
      <c r="C46" s="7"/>
      <c r="D46" s="9"/>
      <c r="E46" s="7"/>
      <c r="F46" s="7"/>
      <c r="G46" s="7"/>
      <c r="H46" s="7"/>
      <c r="I46" s="7"/>
      <c r="J46" s="7"/>
      <c r="K46" s="7"/>
    </row>
    <row r="47">
      <c r="A47" s="7"/>
      <c r="B47" s="7"/>
      <c r="C47" s="7"/>
      <c r="D47" s="9"/>
      <c r="E47" s="7"/>
      <c r="F47" s="7"/>
      <c r="G47" s="7"/>
      <c r="H47" s="7"/>
      <c r="I47" s="7"/>
      <c r="J47" s="7"/>
      <c r="K47" s="7"/>
    </row>
    <row r="48">
      <c r="A48" s="7"/>
      <c r="B48" s="7"/>
      <c r="C48" s="7"/>
      <c r="D48" s="9"/>
      <c r="E48" s="7"/>
      <c r="F48" s="7"/>
      <c r="G48" s="7"/>
      <c r="H48" s="7"/>
      <c r="I48" s="7"/>
      <c r="J48" s="7"/>
      <c r="K48" s="7"/>
    </row>
    <row r="49">
      <c r="A49" s="7"/>
      <c r="B49" s="7"/>
      <c r="C49" s="7"/>
      <c r="D49" s="9"/>
      <c r="E49" s="7"/>
      <c r="F49" s="7"/>
      <c r="G49" s="7"/>
      <c r="H49" s="7"/>
      <c r="I49" s="7"/>
      <c r="J49" s="7"/>
      <c r="K49" s="7"/>
    </row>
    <row r="50">
      <c r="A50" s="7"/>
      <c r="B50" s="7"/>
      <c r="C50" s="7"/>
      <c r="D50" s="9"/>
      <c r="E50" s="7"/>
      <c r="F50" s="7"/>
      <c r="G50" s="7"/>
      <c r="H50" s="7"/>
      <c r="I50" s="7"/>
      <c r="J50" s="7"/>
      <c r="K50" s="7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3" customWidth="1" min="4" max="4"/>
    <col width="14" customWidth="1" min="5" max="5"/>
    <col width="12" customWidth="1" min="6" max="6"/>
    <col width="10" customWidth="1" min="7" max="7"/>
    <col width="11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③ 재무제표 (종목 × 연도)</t>
        </is>
      </c>
    </row>
    <row r="2">
      <c r="A2" s="5" t="inlineStr">
        <is>
          <t>한 행 = 한 종목의 한 해. 입력은 잎 7개(억원)만 — 자산·부채·자본·영업이익·당기순이익·부채비율·ROE는 자동 계산돼요. 미상장·폐지 연도는 행을 빼세요.</t>
        </is>
      </c>
    </row>
    <row r="4">
      <c r="A4" s="6" t="inlineStr">
        <is>
          <t>종목ID</t>
        </is>
      </c>
      <c r="B4" s="6" t="inlineStr">
        <is>
          <t>연도</t>
        </is>
      </c>
      <c r="C4" s="6" t="inlineStr">
        <is>
          <t>유동자산(억)</t>
        </is>
      </c>
      <c r="D4" s="6" t="inlineStr">
        <is>
          <t>비유동자산(억)</t>
        </is>
      </c>
      <c r="E4" s="6" t="inlineStr">
        <is>
          <t>유동부채(억)</t>
        </is>
      </c>
      <c r="F4" s="6" t="inlineStr">
        <is>
          <t>비유동부채(억)</t>
        </is>
      </c>
      <c r="G4" s="6" t="inlineStr">
        <is>
          <t>매출(억)</t>
        </is>
      </c>
      <c r="H4" s="6" t="inlineStr">
        <is>
          <t>영업비용(억)</t>
        </is>
      </c>
      <c r="I4" s="6" t="inlineStr">
        <is>
          <t>영업외비용(억)</t>
        </is>
      </c>
      <c r="J4" s="10" t="inlineStr">
        <is>
          <t>자산합계 ※자동</t>
        </is>
      </c>
      <c r="K4" s="10" t="inlineStr">
        <is>
          <t>부채합계 ※자동</t>
        </is>
      </c>
      <c r="L4" s="10" t="inlineStr">
        <is>
          <t>자본 ※자동</t>
        </is>
      </c>
      <c r="M4" s="10" t="inlineStr">
        <is>
          <t>영업이익 ※자동</t>
        </is>
      </c>
      <c r="N4" s="10" t="inlineStr">
        <is>
          <t>당기순이익 ※자동</t>
        </is>
      </c>
      <c r="O4" s="10" t="inlineStr">
        <is>
          <t>부채비율(%) ※자동</t>
        </is>
      </c>
      <c r="P4" s="10" t="inlineStr">
        <is>
          <t>ROE(%) ※자동</t>
        </is>
      </c>
    </row>
    <row r="5">
      <c r="A5" s="7"/>
      <c r="B5" s="7"/>
      <c r="C5" s="7"/>
      <c r="D5" s="7"/>
      <c r="E5" s="7"/>
      <c r="F5" s="7"/>
      <c r="G5" s="7"/>
      <c r="H5" s="7"/>
      <c r="I5" s="7"/>
      <c r="J5" s="11">
        <f>IF(C5="","",C5+D5)</f>
      </c>
      <c r="K5" s="11">
        <f>IF(E5="","",E5+F5)</f>
      </c>
      <c r="L5" s="11">
        <f>IF(J5="","",J5-K5)</f>
      </c>
      <c r="M5" s="11">
        <f>IF(G5="","",G5-H5)</f>
      </c>
      <c r="N5" s="11">
        <f>IF(M5="","",M5-I5)</f>
      </c>
      <c r="O5" s="11">
        <f>IF(OR(L5="",L5&lt;=0),"자본잠식",ROUND(K5/L5*100,1))</f>
      </c>
      <c r="P5" s="11">
        <f>IF(OR(L5="",L5&lt;=0),"—",ROUND(N5/L5*100,1))</f>
      </c>
    </row>
    <row r="6">
      <c r="A6" s="7"/>
      <c r="B6" s="7"/>
      <c r="C6" s="7"/>
      <c r="D6" s="7"/>
      <c r="E6" s="7"/>
      <c r="F6" s="7"/>
      <c r="G6" s="7"/>
      <c r="H6" s="7"/>
      <c r="I6" s="7"/>
      <c r="J6" s="11">
        <f>IF(C6="","",C6+D6)</f>
      </c>
      <c r="K6" s="11">
        <f>IF(E6="","",E6+F6)</f>
      </c>
      <c r="L6" s="11">
        <f>IF(J6="","",J6-K6)</f>
      </c>
      <c r="M6" s="11">
        <f>IF(G6="","",G6-H6)</f>
      </c>
      <c r="N6" s="11">
        <f>IF(M6="","",M6-I6)</f>
      </c>
      <c r="O6" s="11">
        <f>IF(OR(L6="",L6&lt;=0),"자본잠식",ROUND(K6/L6*100,1))</f>
      </c>
      <c r="P6" s="11">
        <f>IF(OR(L6="",L6&lt;=0),"—",ROUND(N6/L6*100,1))</f>
      </c>
    </row>
    <row r="7">
      <c r="A7" s="7"/>
      <c r="B7" s="7"/>
      <c r="C7" s="7"/>
      <c r="D7" s="7"/>
      <c r="E7" s="7"/>
      <c r="F7" s="7"/>
      <c r="G7" s="7"/>
      <c r="H7" s="7"/>
      <c r="I7" s="7"/>
      <c r="J7" s="11">
        <f>IF(C7="","",C7+D7)</f>
      </c>
      <c r="K7" s="11">
        <f>IF(E7="","",E7+F7)</f>
      </c>
      <c r="L7" s="11">
        <f>IF(J7="","",J7-K7)</f>
      </c>
      <c r="M7" s="11">
        <f>IF(G7="","",G7-H7)</f>
      </c>
      <c r="N7" s="11">
        <f>IF(M7="","",M7-I7)</f>
      </c>
      <c r="O7" s="11">
        <f>IF(OR(L7="",L7&lt;=0),"자본잠식",ROUND(K7/L7*100,1))</f>
      </c>
      <c r="P7" s="11">
        <f>IF(OR(L7="",L7&lt;=0),"—",ROUND(N7/L7*100,1))</f>
      </c>
    </row>
    <row r="8">
      <c r="A8" s="7"/>
      <c r="B8" s="7"/>
      <c r="C8" s="7"/>
      <c r="D8" s="7"/>
      <c r="E8" s="7"/>
      <c r="F8" s="7"/>
      <c r="G8" s="7"/>
      <c r="H8" s="7"/>
      <c r="I8" s="7"/>
      <c r="J8" s="11">
        <f>IF(C8="","",C8+D8)</f>
      </c>
      <c r="K8" s="11">
        <f>IF(E8="","",E8+F8)</f>
      </c>
      <c r="L8" s="11">
        <f>IF(J8="","",J8-K8)</f>
      </c>
      <c r="M8" s="11">
        <f>IF(G8="","",G8-H8)</f>
      </c>
      <c r="N8" s="11">
        <f>IF(M8="","",M8-I8)</f>
      </c>
      <c r="O8" s="11">
        <f>IF(OR(L8="",L8&lt;=0),"자본잠식",ROUND(K8/L8*100,1))</f>
      </c>
      <c r="P8" s="11">
        <f>IF(OR(L8="",L8&lt;=0),"—",ROUND(N8/L8*100,1))</f>
      </c>
    </row>
    <row r="9">
      <c r="A9" s="7"/>
      <c r="B9" s="7"/>
      <c r="C9" s="7"/>
      <c r="D9" s="7"/>
      <c r="E9" s="7"/>
      <c r="F9" s="7"/>
      <c r="G9" s="7"/>
      <c r="H9" s="7"/>
      <c r="I9" s="7"/>
      <c r="J9" s="11">
        <f>IF(C9="","",C9+D9)</f>
      </c>
      <c r="K9" s="11">
        <f>IF(E9="","",E9+F9)</f>
      </c>
      <c r="L9" s="11">
        <f>IF(J9="","",J9-K9)</f>
      </c>
      <c r="M9" s="11">
        <f>IF(G9="","",G9-H9)</f>
      </c>
      <c r="N9" s="11">
        <f>IF(M9="","",M9-I9)</f>
      </c>
      <c r="O9" s="11">
        <f>IF(OR(L9="",L9&lt;=0),"자본잠식",ROUND(K9/L9*100,1))</f>
      </c>
      <c r="P9" s="11">
        <f>IF(OR(L9="",L9&lt;=0),"—",ROUND(N9/L9*100,1))</f>
      </c>
    </row>
    <row r="10">
      <c r="A10" s="7"/>
      <c r="B10" s="7"/>
      <c r="C10" s="7"/>
      <c r="D10" s="7"/>
      <c r="E10" s="7"/>
      <c r="F10" s="7"/>
      <c r="G10" s="7"/>
      <c r="H10" s="7"/>
      <c r="I10" s="7"/>
      <c r="J10" s="11">
        <f>IF(C10="","",C10+D10)</f>
      </c>
      <c r="K10" s="11">
        <f>IF(E10="","",E10+F10)</f>
      </c>
      <c r="L10" s="11">
        <f>IF(J10="","",J10-K10)</f>
      </c>
      <c r="M10" s="11">
        <f>IF(G10="","",G10-H10)</f>
      </c>
      <c r="N10" s="11">
        <f>IF(M10="","",M10-I10)</f>
      </c>
      <c r="O10" s="11">
        <f>IF(OR(L10="",L10&lt;=0),"자본잠식",ROUND(K10/L10*100,1))</f>
      </c>
      <c r="P10" s="11">
        <f>IF(OR(L10="",L10&lt;=0),"—",ROUND(N10/L10*100,1))</f>
      </c>
    </row>
    <row r="11">
      <c r="A11" s="7"/>
      <c r="B11" s="7"/>
      <c r="C11" s="7"/>
      <c r="D11" s="7"/>
      <c r="E11" s="7"/>
      <c r="F11" s="7"/>
      <c r="G11" s="7"/>
      <c r="H11" s="7"/>
      <c r="I11" s="7"/>
      <c r="J11" s="11">
        <f>IF(C11="","",C11+D11)</f>
      </c>
      <c r="K11" s="11">
        <f>IF(E11="","",E11+F11)</f>
      </c>
      <c r="L11" s="11">
        <f>IF(J11="","",J11-K11)</f>
      </c>
      <c r="M11" s="11">
        <f>IF(G11="","",G11-H11)</f>
      </c>
      <c r="N11" s="11">
        <f>IF(M11="","",M11-I11)</f>
      </c>
      <c r="O11" s="11">
        <f>IF(OR(L11="",L11&lt;=0),"자본잠식",ROUND(K11/L11*100,1))</f>
      </c>
      <c r="P11" s="11">
        <f>IF(OR(L11="",L11&lt;=0),"—",ROUND(N11/L11*100,1))</f>
      </c>
    </row>
    <row r="12">
      <c r="A12" s="7"/>
      <c r="B12" s="7"/>
      <c r="C12" s="7"/>
      <c r="D12" s="7"/>
      <c r="E12" s="7"/>
      <c r="F12" s="7"/>
      <c r="G12" s="7"/>
      <c r="H12" s="7"/>
      <c r="I12" s="7"/>
      <c r="J12" s="11">
        <f>IF(C12="","",C12+D12)</f>
      </c>
      <c r="K12" s="11">
        <f>IF(E12="","",E12+F12)</f>
      </c>
      <c r="L12" s="11">
        <f>IF(J12="","",J12-K12)</f>
      </c>
      <c r="M12" s="11">
        <f>IF(G12="","",G12-H12)</f>
      </c>
      <c r="N12" s="11">
        <f>IF(M12="","",M12-I12)</f>
      </c>
      <c r="O12" s="11">
        <f>IF(OR(L12="",L12&lt;=0),"자본잠식",ROUND(K12/L12*100,1))</f>
      </c>
      <c r="P12" s="11">
        <f>IF(OR(L12="",L12&lt;=0),"—",ROUND(N12/L12*100,1))</f>
      </c>
    </row>
    <row r="13">
      <c r="A13" s="7"/>
      <c r="B13" s="7"/>
      <c r="C13" s="7"/>
      <c r="D13" s="7"/>
      <c r="E13" s="7"/>
      <c r="F13" s="7"/>
      <c r="G13" s="7"/>
      <c r="H13" s="7"/>
      <c r="I13" s="7"/>
      <c r="J13" s="11">
        <f>IF(C13="","",C13+D13)</f>
      </c>
      <c r="K13" s="11">
        <f>IF(E13="","",E13+F13)</f>
      </c>
      <c r="L13" s="11">
        <f>IF(J13="","",J13-K13)</f>
      </c>
      <c r="M13" s="11">
        <f>IF(G13="","",G13-H13)</f>
      </c>
      <c r="N13" s="11">
        <f>IF(M13="","",M13-I13)</f>
      </c>
      <c r="O13" s="11">
        <f>IF(OR(L13="",L13&lt;=0),"자본잠식",ROUND(K13/L13*100,1))</f>
      </c>
      <c r="P13" s="11">
        <f>IF(OR(L13="",L13&lt;=0),"—",ROUND(N13/L13*100,1))</f>
      </c>
    </row>
    <row r="14">
      <c r="A14" s="7"/>
      <c r="B14" s="7"/>
      <c r="C14" s="7"/>
      <c r="D14" s="7"/>
      <c r="E14" s="7"/>
      <c r="F14" s="7"/>
      <c r="G14" s="7"/>
      <c r="H14" s="7"/>
      <c r="I14" s="7"/>
      <c r="J14" s="11">
        <f>IF(C14="","",C14+D14)</f>
      </c>
      <c r="K14" s="11">
        <f>IF(E14="","",E14+F14)</f>
      </c>
      <c r="L14" s="11">
        <f>IF(J14="","",J14-K14)</f>
      </c>
      <c r="M14" s="11">
        <f>IF(G14="","",G14-H14)</f>
      </c>
      <c r="N14" s="11">
        <f>IF(M14="","",M14-I14)</f>
      </c>
      <c r="O14" s="11">
        <f>IF(OR(L14="",L14&lt;=0),"자본잠식",ROUND(K14/L14*100,1))</f>
      </c>
      <c r="P14" s="11">
        <f>IF(OR(L14="",L14&lt;=0),"—",ROUND(N14/L14*100,1))</f>
      </c>
    </row>
    <row r="15">
      <c r="A15" s="7"/>
      <c r="B15" s="7"/>
      <c r="C15" s="7"/>
      <c r="D15" s="7"/>
      <c r="E15" s="7"/>
      <c r="F15" s="7"/>
      <c r="G15" s="7"/>
      <c r="H15" s="7"/>
      <c r="I15" s="7"/>
      <c r="J15" s="11">
        <f>IF(C15="","",C15+D15)</f>
      </c>
      <c r="K15" s="11">
        <f>IF(E15="","",E15+F15)</f>
      </c>
      <c r="L15" s="11">
        <f>IF(J15="","",J15-K15)</f>
      </c>
      <c r="M15" s="11">
        <f>IF(G15="","",G15-H15)</f>
      </c>
      <c r="N15" s="11">
        <f>IF(M15="","",M15-I15)</f>
      </c>
      <c r="O15" s="11">
        <f>IF(OR(L15="",L15&lt;=0),"자본잠식",ROUND(K15/L15*100,1))</f>
      </c>
      <c r="P15" s="11">
        <f>IF(OR(L15="",L15&lt;=0),"—",ROUND(N15/L15*100,1))</f>
      </c>
    </row>
    <row r="16">
      <c r="A16" s="7"/>
      <c r="B16" s="7"/>
      <c r="C16" s="7"/>
      <c r="D16" s="7"/>
      <c r="E16" s="7"/>
      <c r="F16" s="7"/>
      <c r="G16" s="7"/>
      <c r="H16" s="7"/>
      <c r="I16" s="7"/>
      <c r="J16" s="11">
        <f>IF(C16="","",C16+D16)</f>
      </c>
      <c r="K16" s="11">
        <f>IF(E16="","",E16+F16)</f>
      </c>
      <c r="L16" s="11">
        <f>IF(J16="","",J16-K16)</f>
      </c>
      <c r="M16" s="11">
        <f>IF(G16="","",G16-H16)</f>
      </c>
      <c r="N16" s="11">
        <f>IF(M16="","",M16-I16)</f>
      </c>
      <c r="O16" s="11">
        <f>IF(OR(L16="",L16&lt;=0),"자본잠식",ROUND(K16/L16*100,1))</f>
      </c>
      <c r="P16" s="11">
        <f>IF(OR(L16="",L16&lt;=0),"—",ROUND(N16/L16*100,1))</f>
      </c>
    </row>
    <row r="17">
      <c r="A17" s="7"/>
      <c r="B17" s="7"/>
      <c r="C17" s="7"/>
      <c r="D17" s="7"/>
      <c r="E17" s="7"/>
      <c r="F17" s="7"/>
      <c r="G17" s="7"/>
      <c r="H17" s="7"/>
      <c r="I17" s="7"/>
      <c r="J17" s="11">
        <f>IF(C17="","",C17+D17)</f>
      </c>
      <c r="K17" s="11">
        <f>IF(E17="","",E17+F17)</f>
      </c>
      <c r="L17" s="11">
        <f>IF(J17="","",J17-K17)</f>
      </c>
      <c r="M17" s="11">
        <f>IF(G17="","",G17-H17)</f>
      </c>
      <c r="N17" s="11">
        <f>IF(M17="","",M17-I17)</f>
      </c>
      <c r="O17" s="11">
        <f>IF(OR(L17="",L17&lt;=0),"자본잠식",ROUND(K17/L17*100,1))</f>
      </c>
      <c r="P17" s="11">
        <f>IF(OR(L17="",L17&lt;=0),"—",ROUND(N17/L17*100,1))</f>
      </c>
    </row>
    <row r="18">
      <c r="A18" s="7"/>
      <c r="B18" s="7"/>
      <c r="C18" s="7"/>
      <c r="D18" s="7"/>
      <c r="E18" s="7"/>
      <c r="F18" s="7"/>
      <c r="G18" s="7"/>
      <c r="H18" s="7"/>
      <c r="I18" s="7"/>
      <c r="J18" s="11">
        <f>IF(C18="","",C18+D18)</f>
      </c>
      <c r="K18" s="11">
        <f>IF(E18="","",E18+F18)</f>
      </c>
      <c r="L18" s="11">
        <f>IF(J18="","",J18-K18)</f>
      </c>
      <c r="M18" s="11">
        <f>IF(G18="","",G18-H18)</f>
      </c>
      <c r="N18" s="11">
        <f>IF(M18="","",M18-I18)</f>
      </c>
      <c r="O18" s="11">
        <f>IF(OR(L18="",L18&lt;=0),"자본잠식",ROUND(K18/L18*100,1))</f>
      </c>
      <c r="P18" s="11">
        <f>IF(OR(L18="",L18&lt;=0),"—",ROUND(N18/L18*100,1))</f>
      </c>
    </row>
    <row r="19">
      <c r="A19" s="7"/>
      <c r="B19" s="7"/>
      <c r="C19" s="7"/>
      <c r="D19" s="7"/>
      <c r="E19" s="7"/>
      <c r="F19" s="7"/>
      <c r="G19" s="7"/>
      <c r="H19" s="7"/>
      <c r="I19" s="7"/>
      <c r="J19" s="11">
        <f>IF(C19="","",C19+D19)</f>
      </c>
      <c r="K19" s="11">
        <f>IF(E19="","",E19+F19)</f>
      </c>
      <c r="L19" s="11">
        <f>IF(J19="","",J19-K19)</f>
      </c>
      <c r="M19" s="11">
        <f>IF(G19="","",G19-H19)</f>
      </c>
      <c r="N19" s="11">
        <f>IF(M19="","",M19-I19)</f>
      </c>
      <c r="O19" s="11">
        <f>IF(OR(L19="",L19&lt;=0),"자본잠식",ROUND(K19/L19*100,1))</f>
      </c>
      <c r="P19" s="11">
        <f>IF(OR(L19="",L19&lt;=0),"—",ROUND(N19/L19*100,1))</f>
      </c>
    </row>
    <row r="20">
      <c r="A20" s="7"/>
      <c r="B20" s="7"/>
      <c r="C20" s="7"/>
      <c r="D20" s="7"/>
      <c r="E20" s="7"/>
      <c r="F20" s="7"/>
      <c r="G20" s="7"/>
      <c r="H20" s="7"/>
      <c r="I20" s="7"/>
      <c r="J20" s="11">
        <f>IF(C20="","",C20+D20)</f>
      </c>
      <c r="K20" s="11">
        <f>IF(E20="","",E20+F20)</f>
      </c>
      <c r="L20" s="11">
        <f>IF(J20="","",J20-K20)</f>
      </c>
      <c r="M20" s="11">
        <f>IF(G20="","",G20-H20)</f>
      </c>
      <c r="N20" s="11">
        <f>IF(M20="","",M20-I20)</f>
      </c>
      <c r="O20" s="11">
        <f>IF(OR(L20="",L20&lt;=0),"자본잠식",ROUND(K20/L20*100,1))</f>
      </c>
      <c r="P20" s="11">
        <f>IF(OR(L20="",L20&lt;=0),"—",ROUND(N20/L20*100,1))</f>
      </c>
    </row>
    <row r="21">
      <c r="A21" s="7"/>
      <c r="B21" s="7"/>
      <c r="C21" s="7"/>
      <c r="D21" s="7"/>
      <c r="E21" s="7"/>
      <c r="F21" s="7"/>
      <c r="G21" s="7"/>
      <c r="H21" s="7"/>
      <c r="I21" s="7"/>
      <c r="J21" s="11">
        <f>IF(C21="","",C21+D21)</f>
      </c>
      <c r="K21" s="11">
        <f>IF(E21="","",E21+F21)</f>
      </c>
      <c r="L21" s="11">
        <f>IF(J21="","",J21-K21)</f>
      </c>
      <c r="M21" s="11">
        <f>IF(G21="","",G21-H21)</f>
      </c>
      <c r="N21" s="11">
        <f>IF(M21="","",M21-I21)</f>
      </c>
      <c r="O21" s="11">
        <f>IF(OR(L21="",L21&lt;=0),"자본잠식",ROUND(K21/L21*100,1))</f>
      </c>
      <c r="P21" s="11">
        <f>IF(OR(L21="",L21&lt;=0),"—",ROUND(N21/L21*100,1))</f>
      </c>
    </row>
    <row r="22">
      <c r="A22" s="7"/>
      <c r="B22" s="7"/>
      <c r="C22" s="7"/>
      <c r="D22" s="7"/>
      <c r="E22" s="7"/>
      <c r="F22" s="7"/>
      <c r="G22" s="7"/>
      <c r="H22" s="7"/>
      <c r="I22" s="7"/>
      <c r="J22" s="11">
        <f>IF(C22="","",C22+D22)</f>
      </c>
      <c r="K22" s="11">
        <f>IF(E22="","",E22+F22)</f>
      </c>
      <c r="L22" s="11">
        <f>IF(J22="","",J22-K22)</f>
      </c>
      <c r="M22" s="11">
        <f>IF(G22="","",G22-H22)</f>
      </c>
      <c r="N22" s="11">
        <f>IF(M22="","",M22-I22)</f>
      </c>
      <c r="O22" s="11">
        <f>IF(OR(L22="",L22&lt;=0),"자본잠식",ROUND(K22/L22*100,1))</f>
      </c>
      <c r="P22" s="11">
        <f>IF(OR(L22="",L22&lt;=0),"—",ROUND(N22/L22*100,1))</f>
      </c>
    </row>
    <row r="23">
      <c r="A23" s="7"/>
      <c r="B23" s="7"/>
      <c r="C23" s="7"/>
      <c r="D23" s="7"/>
      <c r="E23" s="7"/>
      <c r="F23" s="7"/>
      <c r="G23" s="7"/>
      <c r="H23" s="7"/>
      <c r="I23" s="7"/>
      <c r="J23" s="11">
        <f>IF(C23="","",C23+D23)</f>
      </c>
      <c r="K23" s="11">
        <f>IF(E23="","",E23+F23)</f>
      </c>
      <c r="L23" s="11">
        <f>IF(J23="","",J23-K23)</f>
      </c>
      <c r="M23" s="11">
        <f>IF(G23="","",G23-H23)</f>
      </c>
      <c r="N23" s="11">
        <f>IF(M23="","",M23-I23)</f>
      </c>
      <c r="O23" s="11">
        <f>IF(OR(L23="",L23&lt;=0),"자본잠식",ROUND(K23/L23*100,1))</f>
      </c>
      <c r="P23" s="11">
        <f>IF(OR(L23="",L23&lt;=0),"—",ROUND(N23/L23*100,1))</f>
      </c>
    </row>
    <row r="24">
      <c r="A24" s="7"/>
      <c r="B24" s="7"/>
      <c r="C24" s="7"/>
      <c r="D24" s="7"/>
      <c r="E24" s="7"/>
      <c r="F24" s="7"/>
      <c r="G24" s="7"/>
      <c r="H24" s="7"/>
      <c r="I24" s="7"/>
      <c r="J24" s="11">
        <f>IF(C24="","",C24+D24)</f>
      </c>
      <c r="K24" s="11">
        <f>IF(E24="","",E24+F24)</f>
      </c>
      <c r="L24" s="11">
        <f>IF(J24="","",J24-K24)</f>
      </c>
      <c r="M24" s="11">
        <f>IF(G24="","",G24-H24)</f>
      </c>
      <c r="N24" s="11">
        <f>IF(M24="","",M24-I24)</f>
      </c>
      <c r="O24" s="11">
        <f>IF(OR(L24="",L24&lt;=0),"자본잠식",ROUND(K24/L24*100,1))</f>
      </c>
      <c r="P24" s="11">
        <f>IF(OR(L24="",L24&lt;=0),"—",ROUND(N24/L24*100,1))</f>
      </c>
    </row>
    <row r="25">
      <c r="A25" s="7"/>
      <c r="B25" s="7"/>
      <c r="C25" s="7"/>
      <c r="D25" s="7"/>
      <c r="E25" s="7"/>
      <c r="F25" s="7"/>
      <c r="G25" s="7"/>
      <c r="H25" s="7"/>
      <c r="I25" s="7"/>
      <c r="J25" s="11">
        <f>IF(C25="","",C25+D25)</f>
      </c>
      <c r="K25" s="11">
        <f>IF(E25="","",E25+F25)</f>
      </c>
      <c r="L25" s="11">
        <f>IF(J25="","",J25-K25)</f>
      </c>
      <c r="M25" s="11">
        <f>IF(G25="","",G25-H25)</f>
      </c>
      <c r="N25" s="11">
        <f>IF(M25="","",M25-I25)</f>
      </c>
      <c r="O25" s="11">
        <f>IF(OR(L25="",L25&lt;=0),"자본잠식",ROUND(K25/L25*100,1))</f>
      </c>
      <c r="P25" s="11">
        <f>IF(OR(L25="",L25&lt;=0),"—",ROUND(N25/L25*100,1))</f>
      </c>
    </row>
    <row r="26">
      <c r="A26" s="7"/>
      <c r="B26" s="7"/>
      <c r="C26" s="7"/>
      <c r="D26" s="7"/>
      <c r="E26" s="7"/>
      <c r="F26" s="7"/>
      <c r="G26" s="7"/>
      <c r="H26" s="7"/>
      <c r="I26" s="7"/>
      <c r="J26" s="11">
        <f>IF(C26="","",C26+D26)</f>
      </c>
      <c r="K26" s="11">
        <f>IF(E26="","",E26+F26)</f>
      </c>
      <c r="L26" s="11">
        <f>IF(J26="","",J26-K26)</f>
      </c>
      <c r="M26" s="11">
        <f>IF(G26="","",G26-H26)</f>
      </c>
      <c r="N26" s="11">
        <f>IF(M26="","",M26-I26)</f>
      </c>
      <c r="O26" s="11">
        <f>IF(OR(L26="",L26&lt;=0),"자본잠식",ROUND(K26/L26*100,1))</f>
      </c>
      <c r="P26" s="11">
        <f>IF(OR(L26="",L26&lt;=0),"—",ROUND(N26/L26*100,1))</f>
      </c>
    </row>
    <row r="27">
      <c r="A27" s="7"/>
      <c r="B27" s="7"/>
      <c r="C27" s="7"/>
      <c r="D27" s="7"/>
      <c r="E27" s="7"/>
      <c r="F27" s="7"/>
      <c r="G27" s="7"/>
      <c r="H27" s="7"/>
      <c r="I27" s="7"/>
      <c r="J27" s="11">
        <f>IF(C27="","",C27+D27)</f>
      </c>
      <c r="K27" s="11">
        <f>IF(E27="","",E27+F27)</f>
      </c>
      <c r="L27" s="11">
        <f>IF(J27="","",J27-K27)</f>
      </c>
      <c r="M27" s="11">
        <f>IF(G27="","",G27-H27)</f>
      </c>
      <c r="N27" s="11">
        <f>IF(M27="","",M27-I27)</f>
      </c>
      <c r="O27" s="11">
        <f>IF(OR(L27="",L27&lt;=0),"자본잠식",ROUND(K27/L27*100,1))</f>
      </c>
      <c r="P27" s="11">
        <f>IF(OR(L27="",L27&lt;=0),"—",ROUND(N27/L27*100,1))</f>
      </c>
    </row>
    <row r="28">
      <c r="A28" s="7"/>
      <c r="B28" s="7"/>
      <c r="C28" s="7"/>
      <c r="D28" s="7"/>
      <c r="E28" s="7"/>
      <c r="F28" s="7"/>
      <c r="G28" s="7"/>
      <c r="H28" s="7"/>
      <c r="I28" s="7"/>
      <c r="J28" s="11">
        <f>IF(C28="","",C28+D28)</f>
      </c>
      <c r="K28" s="11">
        <f>IF(E28="","",E28+F28)</f>
      </c>
      <c r="L28" s="11">
        <f>IF(J28="","",J28-K28)</f>
      </c>
      <c r="M28" s="11">
        <f>IF(G28="","",G28-H28)</f>
      </c>
      <c r="N28" s="11">
        <f>IF(M28="","",M28-I28)</f>
      </c>
      <c r="O28" s="11">
        <f>IF(OR(L28="",L28&lt;=0),"자본잠식",ROUND(K28/L28*100,1))</f>
      </c>
      <c r="P28" s="11">
        <f>IF(OR(L28="",L28&lt;=0),"—",ROUND(N28/L28*100,1))</f>
      </c>
    </row>
    <row r="29">
      <c r="A29" s="7"/>
      <c r="B29" s="7"/>
      <c r="C29" s="7"/>
      <c r="D29" s="7"/>
      <c r="E29" s="7"/>
      <c r="F29" s="7"/>
      <c r="G29" s="7"/>
      <c r="H29" s="7"/>
      <c r="I29" s="7"/>
      <c r="J29" s="11">
        <f>IF(C29="","",C29+D29)</f>
      </c>
      <c r="K29" s="11">
        <f>IF(E29="","",E29+F29)</f>
      </c>
      <c r="L29" s="11">
        <f>IF(J29="","",J29-K29)</f>
      </c>
      <c r="M29" s="11">
        <f>IF(G29="","",G29-H29)</f>
      </c>
      <c r="N29" s="11">
        <f>IF(M29="","",M29-I29)</f>
      </c>
      <c r="O29" s="11">
        <f>IF(OR(L29="",L29&lt;=0),"자본잠식",ROUND(K29/L29*100,1))</f>
      </c>
      <c r="P29" s="11">
        <f>IF(OR(L29="",L29&lt;=0),"—",ROUND(N29/L29*100,1))</f>
      </c>
    </row>
    <row r="30">
      <c r="A30" s="7"/>
      <c r="B30" s="7"/>
      <c r="C30" s="7"/>
      <c r="D30" s="7"/>
      <c r="E30" s="7"/>
      <c r="F30" s="7"/>
      <c r="G30" s="7"/>
      <c r="H30" s="7"/>
      <c r="I30" s="7"/>
      <c r="J30" s="11">
        <f>IF(C30="","",C30+D30)</f>
      </c>
      <c r="K30" s="11">
        <f>IF(E30="","",E30+F30)</f>
      </c>
      <c r="L30" s="11">
        <f>IF(J30="","",J30-K30)</f>
      </c>
      <c r="M30" s="11">
        <f>IF(G30="","",G30-H30)</f>
      </c>
      <c r="N30" s="11">
        <f>IF(M30="","",M30-I30)</f>
      </c>
      <c r="O30" s="11">
        <f>IF(OR(L30="",L30&lt;=0),"자본잠식",ROUND(K30/L30*100,1))</f>
      </c>
      <c r="P30" s="11">
        <f>IF(OR(L30="",L30&lt;=0),"—",ROUND(N30/L30*100,1))</f>
      </c>
    </row>
    <row r="31">
      <c r="A31" s="7"/>
      <c r="B31" s="7"/>
      <c r="C31" s="7"/>
      <c r="D31" s="7"/>
      <c r="E31" s="7"/>
      <c r="F31" s="7"/>
      <c r="G31" s="7"/>
      <c r="H31" s="7"/>
      <c r="I31" s="7"/>
      <c r="J31" s="11">
        <f>IF(C31="","",C31+D31)</f>
      </c>
      <c r="K31" s="11">
        <f>IF(E31="","",E31+F31)</f>
      </c>
      <c r="L31" s="11">
        <f>IF(J31="","",J31-K31)</f>
      </c>
      <c r="M31" s="11">
        <f>IF(G31="","",G31-H31)</f>
      </c>
      <c r="N31" s="11">
        <f>IF(M31="","",M31-I31)</f>
      </c>
      <c r="O31" s="11">
        <f>IF(OR(L31="",L31&lt;=0),"자본잠식",ROUND(K31/L31*100,1))</f>
      </c>
      <c r="P31" s="11">
        <f>IF(OR(L31="",L31&lt;=0),"—",ROUND(N31/L31*100,1))</f>
      </c>
    </row>
    <row r="32">
      <c r="A32" s="7"/>
      <c r="B32" s="7"/>
      <c r="C32" s="7"/>
      <c r="D32" s="7"/>
      <c r="E32" s="7"/>
      <c r="F32" s="7"/>
      <c r="G32" s="7"/>
      <c r="H32" s="7"/>
      <c r="I32" s="7"/>
      <c r="J32" s="11">
        <f>IF(C32="","",C32+D32)</f>
      </c>
      <c r="K32" s="11">
        <f>IF(E32="","",E32+F32)</f>
      </c>
      <c r="L32" s="11">
        <f>IF(J32="","",J32-K32)</f>
      </c>
      <c r="M32" s="11">
        <f>IF(G32="","",G32-H32)</f>
      </c>
      <c r="N32" s="11">
        <f>IF(M32="","",M32-I32)</f>
      </c>
      <c r="O32" s="11">
        <f>IF(OR(L32="",L32&lt;=0),"자본잠식",ROUND(K32/L32*100,1))</f>
      </c>
      <c r="P32" s="11">
        <f>IF(OR(L32="",L32&lt;=0),"—",ROUND(N32/L32*100,1))</f>
      </c>
    </row>
    <row r="33">
      <c r="A33" s="7"/>
      <c r="B33" s="7"/>
      <c r="C33" s="7"/>
      <c r="D33" s="7"/>
      <c r="E33" s="7"/>
      <c r="F33" s="7"/>
      <c r="G33" s="7"/>
      <c r="H33" s="7"/>
      <c r="I33" s="7"/>
      <c r="J33" s="11">
        <f>IF(C33="","",C33+D33)</f>
      </c>
      <c r="K33" s="11">
        <f>IF(E33="","",E33+F33)</f>
      </c>
      <c r="L33" s="11">
        <f>IF(J33="","",J33-K33)</f>
      </c>
      <c r="M33" s="11">
        <f>IF(G33="","",G33-H33)</f>
      </c>
      <c r="N33" s="11">
        <f>IF(M33="","",M33-I33)</f>
      </c>
      <c r="O33" s="11">
        <f>IF(OR(L33="",L33&lt;=0),"자본잠식",ROUND(K33/L33*100,1))</f>
      </c>
      <c r="P33" s="11">
        <f>IF(OR(L33="",L33&lt;=0),"—",ROUND(N33/L33*100,1))</f>
      </c>
    </row>
    <row r="34">
      <c r="A34" s="7"/>
      <c r="B34" s="7"/>
      <c r="C34" s="7"/>
      <c r="D34" s="7"/>
      <c r="E34" s="7"/>
      <c r="F34" s="7"/>
      <c r="G34" s="7"/>
      <c r="H34" s="7"/>
      <c r="I34" s="7"/>
      <c r="J34" s="11">
        <f>IF(C34="","",C34+D34)</f>
      </c>
      <c r="K34" s="11">
        <f>IF(E34="","",E34+F34)</f>
      </c>
      <c r="L34" s="11">
        <f>IF(J34="","",J34-K34)</f>
      </c>
      <c r="M34" s="11">
        <f>IF(G34="","",G34-H34)</f>
      </c>
      <c r="N34" s="11">
        <f>IF(M34="","",M34-I34)</f>
      </c>
      <c r="O34" s="11">
        <f>IF(OR(L34="",L34&lt;=0),"자본잠식",ROUND(K34/L34*100,1))</f>
      </c>
      <c r="P34" s="11">
        <f>IF(OR(L34="",L34&lt;=0),"—",ROUND(N34/L34*100,1))</f>
      </c>
    </row>
    <row r="35">
      <c r="A35" s="7"/>
      <c r="B35" s="7"/>
      <c r="C35" s="7"/>
      <c r="D35" s="7"/>
      <c r="E35" s="7"/>
      <c r="F35" s="7"/>
      <c r="G35" s="7"/>
      <c r="H35" s="7"/>
      <c r="I35" s="7"/>
      <c r="J35" s="11">
        <f>IF(C35="","",C35+D35)</f>
      </c>
      <c r="K35" s="11">
        <f>IF(E35="","",E35+F35)</f>
      </c>
      <c r="L35" s="11">
        <f>IF(J35="","",J35-K35)</f>
      </c>
      <c r="M35" s="11">
        <f>IF(G35="","",G35-H35)</f>
      </c>
      <c r="N35" s="11">
        <f>IF(M35="","",M35-I35)</f>
      </c>
      <c r="O35" s="11">
        <f>IF(OR(L35="",L35&lt;=0),"자본잠식",ROUND(K35/L35*100,1))</f>
      </c>
      <c r="P35" s="11">
        <f>IF(OR(L35="",L35&lt;=0),"—",ROUND(N35/L35*100,1))</f>
      </c>
    </row>
    <row r="36">
      <c r="A36" s="7"/>
      <c r="B36" s="7"/>
      <c r="C36" s="7"/>
      <c r="D36" s="7"/>
      <c r="E36" s="7"/>
      <c r="F36" s="7"/>
      <c r="G36" s="7"/>
      <c r="H36" s="7"/>
      <c r="I36" s="7"/>
      <c r="J36" s="11">
        <f>IF(C36="","",C36+D36)</f>
      </c>
      <c r="K36" s="11">
        <f>IF(E36="","",E36+F36)</f>
      </c>
      <c r="L36" s="11">
        <f>IF(J36="","",J36-K36)</f>
      </c>
      <c r="M36" s="11">
        <f>IF(G36="","",G36-H36)</f>
      </c>
      <c r="N36" s="11">
        <f>IF(M36="","",M36-I36)</f>
      </c>
      <c r="O36" s="11">
        <f>IF(OR(L36="",L36&lt;=0),"자본잠식",ROUND(K36/L36*100,1))</f>
      </c>
      <c r="P36" s="11">
        <f>IF(OR(L36="",L36&lt;=0),"—",ROUND(N36/L36*100,1))</f>
      </c>
    </row>
    <row r="37">
      <c r="A37" s="7"/>
      <c r="B37" s="7"/>
      <c r="C37" s="7"/>
      <c r="D37" s="7"/>
      <c r="E37" s="7"/>
      <c r="F37" s="7"/>
      <c r="G37" s="7"/>
      <c r="H37" s="7"/>
      <c r="I37" s="7"/>
      <c r="J37" s="11">
        <f>IF(C37="","",C37+D37)</f>
      </c>
      <c r="K37" s="11">
        <f>IF(E37="","",E37+F37)</f>
      </c>
      <c r="L37" s="11">
        <f>IF(J37="","",J37-K37)</f>
      </c>
      <c r="M37" s="11">
        <f>IF(G37="","",G37-H37)</f>
      </c>
      <c r="N37" s="11">
        <f>IF(M37="","",M37-I37)</f>
      </c>
      <c r="O37" s="11">
        <f>IF(OR(L37="",L37&lt;=0),"자본잠식",ROUND(K37/L37*100,1))</f>
      </c>
      <c r="P37" s="11">
        <f>IF(OR(L37="",L37&lt;=0),"—",ROUND(N37/L37*100,1))</f>
      </c>
    </row>
    <row r="38">
      <c r="A38" s="7"/>
      <c r="B38" s="7"/>
      <c r="C38" s="7"/>
      <c r="D38" s="7"/>
      <c r="E38" s="7"/>
      <c r="F38" s="7"/>
      <c r="G38" s="7"/>
      <c r="H38" s="7"/>
      <c r="I38" s="7"/>
      <c r="J38" s="11">
        <f>IF(C38="","",C38+D38)</f>
      </c>
      <c r="K38" s="11">
        <f>IF(E38="","",E38+F38)</f>
      </c>
      <c r="L38" s="11">
        <f>IF(J38="","",J38-K38)</f>
      </c>
      <c r="M38" s="11">
        <f>IF(G38="","",G38-H38)</f>
      </c>
      <c r="N38" s="11">
        <f>IF(M38="","",M38-I38)</f>
      </c>
      <c r="O38" s="11">
        <f>IF(OR(L38="",L38&lt;=0),"자본잠식",ROUND(K38/L38*100,1))</f>
      </c>
      <c r="P38" s="11">
        <f>IF(OR(L38="",L38&lt;=0),"—",ROUND(N38/L38*100,1))</f>
      </c>
    </row>
    <row r="39">
      <c r="A39" s="7"/>
      <c r="B39" s="7"/>
      <c r="C39" s="7"/>
      <c r="D39" s="7"/>
      <c r="E39" s="7"/>
      <c r="F39" s="7"/>
      <c r="G39" s="7"/>
      <c r="H39" s="7"/>
      <c r="I39" s="7"/>
      <c r="J39" s="11">
        <f>IF(C39="","",C39+D39)</f>
      </c>
      <c r="K39" s="11">
        <f>IF(E39="","",E39+F39)</f>
      </c>
      <c r="L39" s="11">
        <f>IF(J39="","",J39-K39)</f>
      </c>
      <c r="M39" s="11">
        <f>IF(G39="","",G39-H39)</f>
      </c>
      <c r="N39" s="11">
        <f>IF(M39="","",M39-I39)</f>
      </c>
      <c r="O39" s="11">
        <f>IF(OR(L39="",L39&lt;=0),"자본잠식",ROUND(K39/L39*100,1))</f>
      </c>
      <c r="P39" s="11">
        <f>IF(OR(L39="",L39&lt;=0),"—",ROUND(N39/L39*100,1))</f>
      </c>
    </row>
    <row r="40">
      <c r="A40" s="7"/>
      <c r="B40" s="7"/>
      <c r="C40" s="7"/>
      <c r="D40" s="7"/>
      <c r="E40" s="7"/>
      <c r="F40" s="7"/>
      <c r="G40" s="7"/>
      <c r="H40" s="7"/>
      <c r="I40" s="7"/>
      <c r="J40" s="11">
        <f>IF(C40="","",C40+D40)</f>
      </c>
      <c r="K40" s="11">
        <f>IF(E40="","",E40+F40)</f>
      </c>
      <c r="L40" s="11">
        <f>IF(J40="","",J40-K40)</f>
      </c>
      <c r="M40" s="11">
        <f>IF(G40="","",G40-H40)</f>
      </c>
      <c r="N40" s="11">
        <f>IF(M40="","",M40-I40)</f>
      </c>
      <c r="O40" s="11">
        <f>IF(OR(L40="",L40&lt;=0),"자본잠식",ROUND(K40/L40*100,1))</f>
      </c>
      <c r="P40" s="11">
        <f>IF(OR(L40="",L40&lt;=0),"—",ROUND(N40/L40*100,1))</f>
      </c>
    </row>
    <row r="41">
      <c r="A41" s="7"/>
      <c r="B41" s="7"/>
      <c r="C41" s="7"/>
      <c r="D41" s="7"/>
      <c r="E41" s="7"/>
      <c r="F41" s="7"/>
      <c r="G41" s="7"/>
      <c r="H41" s="7"/>
      <c r="I41" s="7"/>
      <c r="J41" s="11">
        <f>IF(C41="","",C41+D41)</f>
      </c>
      <c r="K41" s="11">
        <f>IF(E41="","",E41+F41)</f>
      </c>
      <c r="L41" s="11">
        <f>IF(J41="","",J41-K41)</f>
      </c>
      <c r="M41" s="11">
        <f>IF(G41="","",G41-H41)</f>
      </c>
      <c r="N41" s="11">
        <f>IF(M41="","",M41-I41)</f>
      </c>
      <c r="O41" s="11">
        <f>IF(OR(L41="",L41&lt;=0),"자본잠식",ROUND(K41/L41*100,1))</f>
      </c>
      <c r="P41" s="11">
        <f>IF(OR(L41="",L41&lt;=0),"—",ROUND(N41/L41*100,1))</f>
      </c>
    </row>
    <row r="42">
      <c r="A42" s="7"/>
      <c r="B42" s="7"/>
      <c r="C42" s="7"/>
      <c r="D42" s="7"/>
      <c r="E42" s="7"/>
      <c r="F42" s="7"/>
      <c r="G42" s="7"/>
      <c r="H42" s="7"/>
      <c r="I42" s="7"/>
      <c r="J42" s="11">
        <f>IF(C42="","",C42+D42)</f>
      </c>
      <c r="K42" s="11">
        <f>IF(E42="","",E42+F42)</f>
      </c>
      <c r="L42" s="11">
        <f>IF(J42="","",J42-K42)</f>
      </c>
      <c r="M42" s="11">
        <f>IF(G42="","",G42-H42)</f>
      </c>
      <c r="N42" s="11">
        <f>IF(M42="","",M42-I42)</f>
      </c>
      <c r="O42" s="11">
        <f>IF(OR(L42="",L42&lt;=0),"자본잠식",ROUND(K42/L42*100,1))</f>
      </c>
      <c r="P42" s="11">
        <f>IF(OR(L42="",L42&lt;=0),"—",ROUND(N42/L42*100,1))</f>
      </c>
    </row>
    <row r="43">
      <c r="A43" s="7"/>
      <c r="B43" s="7"/>
      <c r="C43" s="7"/>
      <c r="D43" s="7"/>
      <c r="E43" s="7"/>
      <c r="F43" s="7"/>
      <c r="G43" s="7"/>
      <c r="H43" s="7"/>
      <c r="I43" s="7"/>
      <c r="J43" s="11">
        <f>IF(C43="","",C43+D43)</f>
      </c>
      <c r="K43" s="11">
        <f>IF(E43="","",E43+F43)</f>
      </c>
      <c r="L43" s="11">
        <f>IF(J43="","",J43-K43)</f>
      </c>
      <c r="M43" s="11">
        <f>IF(G43="","",G43-H43)</f>
      </c>
      <c r="N43" s="11">
        <f>IF(M43="","",M43-I43)</f>
      </c>
      <c r="O43" s="11">
        <f>IF(OR(L43="",L43&lt;=0),"자본잠식",ROUND(K43/L43*100,1))</f>
      </c>
      <c r="P43" s="11">
        <f>IF(OR(L43="",L43&lt;=0),"—",ROUND(N43/L43*100,1))</f>
      </c>
    </row>
    <row r="44">
      <c r="A44" s="7"/>
      <c r="B44" s="7"/>
      <c r="C44" s="7"/>
      <c r="D44" s="7"/>
      <c r="E44" s="7"/>
      <c r="F44" s="7"/>
      <c r="G44" s="7"/>
      <c r="H44" s="7"/>
      <c r="I44" s="7"/>
      <c r="J44" s="11">
        <f>IF(C44="","",C44+D44)</f>
      </c>
      <c r="K44" s="11">
        <f>IF(E44="","",E44+F44)</f>
      </c>
      <c r="L44" s="11">
        <f>IF(J44="","",J44-K44)</f>
      </c>
      <c r="M44" s="11">
        <f>IF(G44="","",G44-H44)</f>
      </c>
      <c r="N44" s="11">
        <f>IF(M44="","",M44-I44)</f>
      </c>
      <c r="O44" s="11">
        <f>IF(OR(L44="",L44&lt;=0),"자본잠식",ROUND(K44/L44*100,1))</f>
      </c>
      <c r="P44" s="11">
        <f>IF(OR(L44="",L44&lt;=0),"—",ROUND(N44/L44*100,1))</f>
      </c>
    </row>
    <row r="45">
      <c r="A45" s="7"/>
      <c r="B45" s="7"/>
      <c r="C45" s="7"/>
      <c r="D45" s="7"/>
      <c r="E45" s="7"/>
      <c r="F45" s="7"/>
      <c r="G45" s="7"/>
      <c r="H45" s="7"/>
      <c r="I45" s="7"/>
      <c r="J45" s="11">
        <f>IF(C45="","",C45+D45)</f>
      </c>
      <c r="K45" s="11">
        <f>IF(E45="","",E45+F45)</f>
      </c>
      <c r="L45" s="11">
        <f>IF(J45="","",J45-K45)</f>
      </c>
      <c r="M45" s="11">
        <f>IF(G45="","",G45-H45)</f>
      </c>
      <c r="N45" s="11">
        <f>IF(M45="","",M45-I45)</f>
      </c>
      <c r="O45" s="11">
        <f>IF(OR(L45="",L45&lt;=0),"자본잠식",ROUND(K45/L45*100,1))</f>
      </c>
      <c r="P45" s="11">
        <f>IF(OR(L45="",L45&lt;=0),"—",ROUND(N45/L45*100,1))</f>
      </c>
    </row>
    <row r="46">
      <c r="A46" s="7"/>
      <c r="B46" s="7"/>
      <c r="C46" s="7"/>
      <c r="D46" s="7"/>
      <c r="E46" s="7"/>
      <c r="F46" s="7"/>
      <c r="G46" s="7"/>
      <c r="H46" s="7"/>
      <c r="I46" s="7"/>
      <c r="J46" s="11">
        <f>IF(C46="","",C46+D46)</f>
      </c>
      <c r="K46" s="11">
        <f>IF(E46="","",E46+F46)</f>
      </c>
      <c r="L46" s="11">
        <f>IF(J46="","",J46-K46)</f>
      </c>
      <c r="M46" s="11">
        <f>IF(G46="","",G46-H46)</f>
      </c>
      <c r="N46" s="11">
        <f>IF(M46="","",M46-I46)</f>
      </c>
      <c r="O46" s="11">
        <f>IF(OR(L46="",L46&lt;=0),"자본잠식",ROUND(K46/L46*100,1))</f>
      </c>
      <c r="P46" s="11">
        <f>IF(OR(L46="",L46&lt;=0),"—",ROUND(N46/L46*100,1))</f>
      </c>
    </row>
    <row r="47">
      <c r="A47" s="7"/>
      <c r="B47" s="7"/>
      <c r="C47" s="7"/>
      <c r="D47" s="7"/>
      <c r="E47" s="7"/>
      <c r="F47" s="7"/>
      <c r="G47" s="7"/>
      <c r="H47" s="7"/>
      <c r="I47" s="7"/>
      <c r="J47" s="11">
        <f>IF(C47="","",C47+D47)</f>
      </c>
      <c r="K47" s="11">
        <f>IF(E47="","",E47+F47)</f>
      </c>
      <c r="L47" s="11">
        <f>IF(J47="","",J47-K47)</f>
      </c>
      <c r="M47" s="11">
        <f>IF(G47="","",G47-H47)</f>
      </c>
      <c r="N47" s="11">
        <f>IF(M47="","",M47-I47)</f>
      </c>
      <c r="O47" s="11">
        <f>IF(OR(L47="",L47&lt;=0),"자본잠식",ROUND(K47/L47*100,1))</f>
      </c>
      <c r="P47" s="11">
        <f>IF(OR(L47="",L47&lt;=0),"—",ROUND(N47/L47*100,1))</f>
      </c>
    </row>
    <row r="48">
      <c r="A48" s="7"/>
      <c r="B48" s="7"/>
      <c r="C48" s="7"/>
      <c r="D48" s="7"/>
      <c r="E48" s="7"/>
      <c r="F48" s="7"/>
      <c r="G48" s="7"/>
      <c r="H48" s="7"/>
      <c r="I48" s="7"/>
      <c r="J48" s="11">
        <f>IF(C48="","",C48+D48)</f>
      </c>
      <c r="K48" s="11">
        <f>IF(E48="","",E48+F48)</f>
      </c>
      <c r="L48" s="11">
        <f>IF(J48="","",J48-K48)</f>
      </c>
      <c r="M48" s="11">
        <f>IF(G48="","",G48-H48)</f>
      </c>
      <c r="N48" s="11">
        <f>IF(M48="","",M48-I48)</f>
      </c>
      <c r="O48" s="11">
        <f>IF(OR(L48="",L48&lt;=0),"자본잠식",ROUND(K48/L48*100,1))</f>
      </c>
      <c r="P48" s="11">
        <f>IF(OR(L48="",L48&lt;=0),"—",ROUND(N48/L48*100,1))</f>
      </c>
    </row>
    <row r="49">
      <c r="A49" s="7"/>
      <c r="B49" s="7"/>
      <c r="C49" s="7"/>
      <c r="D49" s="7"/>
      <c r="E49" s="7"/>
      <c r="F49" s="7"/>
      <c r="G49" s="7"/>
      <c r="H49" s="7"/>
      <c r="I49" s="7"/>
      <c r="J49" s="11">
        <f>IF(C49="","",C49+D49)</f>
      </c>
      <c r="K49" s="11">
        <f>IF(E49="","",E49+F49)</f>
      </c>
      <c r="L49" s="11">
        <f>IF(J49="","",J49-K49)</f>
      </c>
      <c r="M49" s="11">
        <f>IF(G49="","",G49-H49)</f>
      </c>
      <c r="N49" s="11">
        <f>IF(M49="","",M49-I49)</f>
      </c>
      <c r="O49" s="11">
        <f>IF(OR(L49="",L49&lt;=0),"자본잠식",ROUND(K49/L49*100,1))</f>
      </c>
      <c r="P49" s="11">
        <f>IF(OR(L49="",L49&lt;=0),"—",ROUND(N49/L49*100,1))</f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11">
        <f>IF(C50="","",C50+D50)</f>
      </c>
      <c r="K50" s="11">
        <f>IF(E50="","",E50+F50)</f>
      </c>
      <c r="L50" s="11">
        <f>IF(J50="","",J50-K50)</f>
      </c>
      <c r="M50" s="11">
        <f>IF(G50="","",G50-H50)</f>
      </c>
      <c r="N50" s="11">
        <f>IF(M50="","",M50-I50)</f>
      </c>
      <c r="O50" s="11">
        <f>IF(OR(L50="",L50&lt;=0),"자본잠식",ROUND(K50/L50*100,1))</f>
      </c>
      <c r="P50" s="11">
        <f>IF(OR(L50="",L50&lt;=0),"—",ROUND(N50/L50*100,1))</f>
      </c>
    </row>
    <row r="51">
      <c r="A51" s="7"/>
      <c r="B51" s="7"/>
      <c r="C51" s="7"/>
      <c r="D51" s="7"/>
      <c r="E51" s="7"/>
      <c r="F51" s="7"/>
      <c r="G51" s="7"/>
      <c r="H51" s="7"/>
      <c r="I51" s="7"/>
      <c r="J51" s="11">
        <f>IF(C51="","",C51+D51)</f>
      </c>
      <c r="K51" s="11">
        <f>IF(E51="","",E51+F51)</f>
      </c>
      <c r="L51" s="11">
        <f>IF(J51="","",J51-K51)</f>
      </c>
      <c r="M51" s="11">
        <f>IF(G51="","",G51-H51)</f>
      </c>
      <c r="N51" s="11">
        <f>IF(M51="","",M51-I51)</f>
      </c>
      <c r="O51" s="11">
        <f>IF(OR(L51="",L51&lt;=0),"자본잠식",ROUND(K51/L51*100,1))</f>
      </c>
      <c r="P51" s="11">
        <f>IF(OR(L51="",L51&lt;=0),"—",ROUND(N51/L51*100,1))</f>
      </c>
    </row>
    <row r="52">
      <c r="A52" s="7"/>
      <c r="B52" s="7"/>
      <c r="C52" s="7"/>
      <c r="D52" s="7"/>
      <c r="E52" s="7"/>
      <c r="F52" s="7"/>
      <c r="G52" s="7"/>
      <c r="H52" s="7"/>
      <c r="I52" s="7"/>
      <c r="J52" s="11">
        <f>IF(C52="","",C52+D52)</f>
      </c>
      <c r="K52" s="11">
        <f>IF(E52="","",E52+F52)</f>
      </c>
      <c r="L52" s="11">
        <f>IF(J52="","",J52-K52)</f>
      </c>
      <c r="M52" s="11">
        <f>IF(G52="","",G52-H52)</f>
      </c>
      <c r="N52" s="11">
        <f>IF(M52="","",M52-I52)</f>
      </c>
      <c r="O52" s="11">
        <f>IF(OR(L52="",L52&lt;=0),"자본잠식",ROUND(K52/L52*100,1))</f>
      </c>
      <c r="P52" s="11">
        <f>IF(OR(L52="",L52&lt;=0),"—",ROUND(N52/L52*100,1))</f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11">
        <f>IF(C53="","",C53+D53)</f>
      </c>
      <c r="K53" s="11">
        <f>IF(E53="","",E53+F53)</f>
      </c>
      <c r="L53" s="11">
        <f>IF(J53="","",J53-K53)</f>
      </c>
      <c r="M53" s="11">
        <f>IF(G53="","",G53-H53)</f>
      </c>
      <c r="N53" s="11">
        <f>IF(M53="","",M53-I53)</f>
      </c>
      <c r="O53" s="11">
        <f>IF(OR(L53="",L53&lt;=0),"자본잠식",ROUND(K53/L53*100,1))</f>
      </c>
      <c r="P53" s="11">
        <f>IF(OR(L53="",L53&lt;=0),"—",ROUND(N53/L53*100,1))</f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11">
        <f>IF(C54="","",C54+D54)</f>
      </c>
      <c r="K54" s="11">
        <f>IF(E54="","",E54+F54)</f>
      </c>
      <c r="L54" s="11">
        <f>IF(J54="","",J54-K54)</f>
      </c>
      <c r="M54" s="11">
        <f>IF(G54="","",G54-H54)</f>
      </c>
      <c r="N54" s="11">
        <f>IF(M54="","",M54-I54)</f>
      </c>
      <c r="O54" s="11">
        <f>IF(OR(L54="",L54&lt;=0),"자본잠식",ROUND(K54/L54*100,1))</f>
      </c>
      <c r="P54" s="11">
        <f>IF(OR(L54="",L54&lt;=0),"—",ROUND(N54/L54*100,1))</f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11">
        <f>IF(C55="","",C55+D55)</f>
      </c>
      <c r="K55" s="11">
        <f>IF(E55="","",E55+F55)</f>
      </c>
      <c r="L55" s="11">
        <f>IF(J55="","",J55-K55)</f>
      </c>
      <c r="M55" s="11">
        <f>IF(G55="","",G55-H55)</f>
      </c>
      <c r="N55" s="11">
        <f>IF(M55="","",M55-I55)</f>
      </c>
      <c r="O55" s="11">
        <f>IF(OR(L55="",L55&lt;=0),"자본잠식",ROUND(K55/L55*100,1))</f>
      </c>
      <c r="P55" s="11">
        <f>IF(OR(L55="",L55&lt;=0),"—",ROUND(N55/L55*100,1))</f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11">
        <f>IF(C56="","",C56+D56)</f>
      </c>
      <c r="K56" s="11">
        <f>IF(E56="","",E56+F56)</f>
      </c>
      <c r="L56" s="11">
        <f>IF(J56="","",J56-K56)</f>
      </c>
      <c r="M56" s="11">
        <f>IF(G56="","",G56-H56)</f>
      </c>
      <c r="N56" s="11">
        <f>IF(M56="","",M56-I56)</f>
      </c>
      <c r="O56" s="11">
        <f>IF(OR(L56="",L56&lt;=0),"자본잠식",ROUND(K56/L56*100,1))</f>
      </c>
      <c r="P56" s="11">
        <f>IF(OR(L56="",L56&lt;=0),"—",ROUND(N56/L56*100,1))</f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11">
        <f>IF(C57="","",C57+D57)</f>
      </c>
      <c r="K57" s="11">
        <f>IF(E57="","",E57+F57)</f>
      </c>
      <c r="L57" s="11">
        <f>IF(J57="","",J57-K57)</f>
      </c>
      <c r="M57" s="11">
        <f>IF(G57="","",G57-H57)</f>
      </c>
      <c r="N57" s="11">
        <f>IF(M57="","",M57-I57)</f>
      </c>
      <c r="O57" s="11">
        <f>IF(OR(L57="",L57&lt;=0),"자본잠식",ROUND(K57/L57*100,1))</f>
      </c>
      <c r="P57" s="11">
        <f>IF(OR(L57="",L57&lt;=0),"—",ROUND(N57/L57*100,1))</f>
      </c>
    </row>
    <row r="58">
      <c r="A58" s="7"/>
      <c r="B58" s="7"/>
      <c r="C58" s="7"/>
      <c r="D58" s="7"/>
      <c r="E58" s="7"/>
      <c r="F58" s="7"/>
      <c r="G58" s="7"/>
      <c r="H58" s="7"/>
      <c r="I58" s="7"/>
      <c r="J58" s="11">
        <f>IF(C58="","",C58+D58)</f>
      </c>
      <c r="K58" s="11">
        <f>IF(E58="","",E58+F58)</f>
      </c>
      <c r="L58" s="11">
        <f>IF(J58="","",J58-K58)</f>
      </c>
      <c r="M58" s="11">
        <f>IF(G58="","",G58-H58)</f>
      </c>
      <c r="N58" s="11">
        <f>IF(M58="","",M58-I58)</f>
      </c>
      <c r="O58" s="11">
        <f>IF(OR(L58="",L58&lt;=0),"자본잠식",ROUND(K58/L58*100,1))</f>
      </c>
      <c r="P58" s="11">
        <f>IF(OR(L58="",L58&lt;=0),"—",ROUND(N58/L58*100,1))</f>
      </c>
    </row>
    <row r="59">
      <c r="A59" s="7"/>
      <c r="B59" s="7"/>
      <c r="C59" s="7"/>
      <c r="D59" s="7"/>
      <c r="E59" s="7"/>
      <c r="F59" s="7"/>
      <c r="G59" s="7"/>
      <c r="H59" s="7"/>
      <c r="I59" s="7"/>
      <c r="J59" s="11">
        <f>IF(C59="","",C59+D59)</f>
      </c>
      <c r="K59" s="11">
        <f>IF(E59="","",E59+F59)</f>
      </c>
      <c r="L59" s="11">
        <f>IF(J59="","",J59-K59)</f>
      </c>
      <c r="M59" s="11">
        <f>IF(G59="","",G59-H59)</f>
      </c>
      <c r="N59" s="11">
        <f>IF(M59="","",M59-I59)</f>
      </c>
      <c r="O59" s="11">
        <f>IF(OR(L59="",L59&lt;=0),"자본잠식",ROUND(K59/L59*100,1))</f>
      </c>
      <c r="P59" s="11">
        <f>IF(OR(L59="",L59&lt;=0),"—",ROUND(N59/L59*100,1))</f>
      </c>
    </row>
    <row r="60">
      <c r="A60" s="7"/>
      <c r="B60" s="7"/>
      <c r="C60" s="7"/>
      <c r="D60" s="7"/>
      <c r="E60" s="7"/>
      <c r="F60" s="7"/>
      <c r="G60" s="7"/>
      <c r="H60" s="7"/>
      <c r="I60" s="7"/>
      <c r="J60" s="11">
        <f>IF(C60="","",C60+D60)</f>
      </c>
      <c r="K60" s="11">
        <f>IF(E60="","",E60+F60)</f>
      </c>
      <c r="L60" s="11">
        <f>IF(J60="","",J60-K60)</f>
      </c>
      <c r="M60" s="11">
        <f>IF(G60="","",G60-H60)</f>
      </c>
      <c r="N60" s="11">
        <f>IF(M60="","",M60-I60)</f>
      </c>
      <c r="O60" s="11">
        <f>IF(OR(L60="",L60&lt;=0),"자본잠식",ROUND(K60/L60*100,1))</f>
      </c>
      <c r="P60" s="11">
        <f>IF(OR(L60="",L60&lt;=0),"—",ROUND(N60/L60*100,1))</f>
      </c>
    </row>
    <row r="61">
      <c r="A61" s="7"/>
      <c r="B61" s="7"/>
      <c r="C61" s="7"/>
      <c r="D61" s="7"/>
      <c r="E61" s="7"/>
      <c r="F61" s="7"/>
      <c r="G61" s="7"/>
      <c r="H61" s="7"/>
      <c r="I61" s="7"/>
      <c r="J61" s="11">
        <f>IF(C61="","",C61+D61)</f>
      </c>
      <c r="K61" s="11">
        <f>IF(E61="","",E61+F61)</f>
      </c>
      <c r="L61" s="11">
        <f>IF(J61="","",J61-K61)</f>
      </c>
      <c r="M61" s="11">
        <f>IF(G61="","",G61-H61)</f>
      </c>
      <c r="N61" s="11">
        <f>IF(M61="","",M61-I61)</f>
      </c>
      <c r="O61" s="11">
        <f>IF(OR(L61="",L61&lt;=0),"자본잠식",ROUND(K61/L61*100,1))</f>
      </c>
      <c r="P61" s="11">
        <f>IF(OR(L61="",L61&lt;=0),"—",ROUND(N61/L61*100,1))</f>
      </c>
    </row>
    <row r="62">
      <c r="A62" s="7"/>
      <c r="B62" s="7"/>
      <c r="C62" s="7"/>
      <c r="D62" s="7"/>
      <c r="E62" s="7"/>
      <c r="F62" s="7"/>
      <c r="G62" s="7"/>
      <c r="H62" s="7"/>
      <c r="I62" s="7"/>
      <c r="J62" s="11">
        <f>IF(C62="","",C62+D62)</f>
      </c>
      <c r="K62" s="11">
        <f>IF(E62="","",E62+F62)</f>
      </c>
      <c r="L62" s="11">
        <f>IF(J62="","",J62-K62)</f>
      </c>
      <c r="M62" s="11">
        <f>IF(G62="","",G62-H62)</f>
      </c>
      <c r="N62" s="11">
        <f>IF(M62="","",M62-I62)</f>
      </c>
      <c r="O62" s="11">
        <f>IF(OR(L62="",L62&lt;=0),"자본잠식",ROUND(K62/L62*100,1))</f>
      </c>
      <c r="P62" s="11">
        <f>IF(OR(L62="",L62&lt;=0),"—",ROUND(N62/L62*100,1))</f>
      </c>
    </row>
    <row r="63">
      <c r="A63" s="7"/>
      <c r="B63" s="7"/>
      <c r="C63" s="7"/>
      <c r="D63" s="7"/>
      <c r="E63" s="7"/>
      <c r="F63" s="7"/>
      <c r="G63" s="7"/>
      <c r="H63" s="7"/>
      <c r="I63" s="7"/>
      <c r="J63" s="11">
        <f>IF(C63="","",C63+D63)</f>
      </c>
      <c r="K63" s="11">
        <f>IF(E63="","",E63+F63)</f>
      </c>
      <c r="L63" s="11">
        <f>IF(J63="","",J63-K63)</f>
      </c>
      <c r="M63" s="11">
        <f>IF(G63="","",G63-H63)</f>
      </c>
      <c r="N63" s="11">
        <f>IF(M63="","",M63-I63)</f>
      </c>
      <c r="O63" s="11">
        <f>IF(OR(L63="",L63&lt;=0),"자본잠식",ROUND(K63/L63*100,1))</f>
      </c>
      <c r="P63" s="11">
        <f>IF(OR(L63="",L63&lt;=0),"—",ROUND(N63/L63*100,1))</f>
      </c>
    </row>
    <row r="64">
      <c r="A64" s="7"/>
      <c r="B64" s="7"/>
      <c r="C64" s="7"/>
      <c r="D64" s="7"/>
      <c r="E64" s="7"/>
      <c r="F64" s="7"/>
      <c r="G64" s="7"/>
      <c r="H64" s="7"/>
      <c r="I64" s="7"/>
      <c r="J64" s="11">
        <f>IF(C64="","",C64+D64)</f>
      </c>
      <c r="K64" s="11">
        <f>IF(E64="","",E64+F64)</f>
      </c>
      <c r="L64" s="11">
        <f>IF(J64="","",J64-K64)</f>
      </c>
      <c r="M64" s="11">
        <f>IF(G64="","",G64-H64)</f>
      </c>
      <c r="N64" s="11">
        <f>IF(M64="","",M64-I64)</f>
      </c>
      <c r="O64" s="11">
        <f>IF(OR(L64="",L64&lt;=0),"자본잠식",ROUND(K64/L64*100,1))</f>
      </c>
      <c r="P64" s="11">
        <f>IF(OR(L64="",L64&lt;=0),"—",ROUND(N64/L64*100,1))</f>
      </c>
    </row>
    <row r="65">
      <c r="A65" s="7"/>
      <c r="B65" s="7"/>
      <c r="C65" s="7"/>
      <c r="D65" s="7"/>
      <c r="E65" s="7"/>
      <c r="F65" s="7"/>
      <c r="G65" s="7"/>
      <c r="H65" s="7"/>
      <c r="I65" s="7"/>
      <c r="J65" s="11">
        <f>IF(C65="","",C65+D65)</f>
      </c>
      <c r="K65" s="11">
        <f>IF(E65="","",E65+F65)</f>
      </c>
      <c r="L65" s="11">
        <f>IF(J65="","",J65-K65)</f>
      </c>
      <c r="M65" s="11">
        <f>IF(G65="","",G65-H65)</f>
      </c>
      <c r="N65" s="11">
        <f>IF(M65="","",M65-I65)</f>
      </c>
      <c r="O65" s="11">
        <f>IF(OR(L65="",L65&lt;=0),"자본잠식",ROUND(K65/L65*100,1))</f>
      </c>
      <c r="P65" s="11">
        <f>IF(OR(L65="",L65&lt;=0),"—",ROUND(N65/L65*100,1))</f>
      </c>
    </row>
    <row r="66">
      <c r="A66" s="7"/>
      <c r="B66" s="7"/>
      <c r="C66" s="7"/>
      <c r="D66" s="7"/>
      <c r="E66" s="7"/>
      <c r="F66" s="7"/>
      <c r="G66" s="7"/>
      <c r="H66" s="7"/>
      <c r="I66" s="7"/>
      <c r="J66" s="11">
        <f>IF(C66="","",C66+D66)</f>
      </c>
      <c r="K66" s="11">
        <f>IF(E66="","",E66+F66)</f>
      </c>
      <c r="L66" s="11">
        <f>IF(J66="","",J66-K66)</f>
      </c>
      <c r="M66" s="11">
        <f>IF(G66="","",G66-H66)</f>
      </c>
      <c r="N66" s="11">
        <f>IF(M66="","",M66-I66)</f>
      </c>
      <c r="O66" s="11">
        <f>IF(OR(L66="",L66&lt;=0),"자본잠식",ROUND(K66/L66*100,1))</f>
      </c>
      <c r="P66" s="11">
        <f>IF(OR(L66="",L66&lt;=0),"—",ROUND(N66/L66*100,1))</f>
      </c>
    </row>
    <row r="67">
      <c r="A67" s="7"/>
      <c r="B67" s="7"/>
      <c r="C67" s="7"/>
      <c r="D67" s="7"/>
      <c r="E67" s="7"/>
      <c r="F67" s="7"/>
      <c r="G67" s="7"/>
      <c r="H67" s="7"/>
      <c r="I67" s="7"/>
      <c r="J67" s="11">
        <f>IF(C67="","",C67+D67)</f>
      </c>
      <c r="K67" s="11">
        <f>IF(E67="","",E67+F67)</f>
      </c>
      <c r="L67" s="11">
        <f>IF(J67="","",J67-K67)</f>
      </c>
      <c r="M67" s="11">
        <f>IF(G67="","",G67-H67)</f>
      </c>
      <c r="N67" s="11">
        <f>IF(M67="","",M67-I67)</f>
      </c>
      <c r="O67" s="11">
        <f>IF(OR(L67="",L67&lt;=0),"자본잠식",ROUND(K67/L67*100,1))</f>
      </c>
      <c r="P67" s="11">
        <f>IF(OR(L67="",L67&lt;=0),"—",ROUND(N67/L67*100,1))</f>
      </c>
    </row>
    <row r="68">
      <c r="A68" s="7"/>
      <c r="B68" s="7"/>
      <c r="C68" s="7"/>
      <c r="D68" s="7"/>
      <c r="E68" s="7"/>
      <c r="F68" s="7"/>
      <c r="G68" s="7"/>
      <c r="H68" s="7"/>
      <c r="I68" s="7"/>
      <c r="J68" s="11">
        <f>IF(C68="","",C68+D68)</f>
      </c>
      <c r="K68" s="11">
        <f>IF(E68="","",E68+F68)</f>
      </c>
      <c r="L68" s="11">
        <f>IF(J68="","",J68-K68)</f>
      </c>
      <c r="M68" s="11">
        <f>IF(G68="","",G68-H68)</f>
      </c>
      <c r="N68" s="11">
        <f>IF(M68="","",M68-I68)</f>
      </c>
      <c r="O68" s="11">
        <f>IF(OR(L68="",L68&lt;=0),"자본잠식",ROUND(K68/L68*100,1))</f>
      </c>
      <c r="P68" s="11">
        <f>IF(OR(L68="",L68&lt;=0),"—",ROUND(N68/L68*100,1))</f>
      </c>
    </row>
    <row r="69">
      <c r="A69" s="7"/>
      <c r="B69" s="7"/>
      <c r="C69" s="7"/>
      <c r="D69" s="7"/>
      <c r="E69" s="7"/>
      <c r="F69" s="7"/>
      <c r="G69" s="7"/>
      <c r="H69" s="7"/>
      <c r="I69" s="7"/>
      <c r="J69" s="11">
        <f>IF(C69="","",C69+D69)</f>
      </c>
      <c r="K69" s="11">
        <f>IF(E69="","",E69+F69)</f>
      </c>
      <c r="L69" s="11">
        <f>IF(J69="","",J69-K69)</f>
      </c>
      <c r="M69" s="11">
        <f>IF(G69="","",G69-H69)</f>
      </c>
      <c r="N69" s="11">
        <f>IF(M69="","",M69-I69)</f>
      </c>
      <c r="O69" s="11">
        <f>IF(OR(L69="",L69&lt;=0),"자본잠식",ROUND(K69/L69*100,1))</f>
      </c>
      <c r="P69" s="11">
        <f>IF(OR(L69="",L69&lt;=0),"—",ROUND(N69/L69*100,1))</f>
      </c>
    </row>
    <row r="70">
      <c r="A70" s="7"/>
      <c r="B70" s="7"/>
      <c r="C70" s="7"/>
      <c r="D70" s="7"/>
      <c r="E70" s="7"/>
      <c r="F70" s="7"/>
      <c r="G70" s="7"/>
      <c r="H70" s="7"/>
      <c r="I70" s="7"/>
      <c r="J70" s="11">
        <f>IF(C70="","",C70+D70)</f>
      </c>
      <c r="K70" s="11">
        <f>IF(E70="","",E70+F70)</f>
      </c>
      <c r="L70" s="11">
        <f>IF(J70="","",J70-K70)</f>
      </c>
      <c r="M70" s="11">
        <f>IF(G70="","",G70-H70)</f>
      </c>
      <c r="N70" s="11">
        <f>IF(M70="","",M70-I70)</f>
      </c>
      <c r="O70" s="11">
        <f>IF(OR(L70="",L70&lt;=0),"자본잠식",ROUND(K70/L70*100,1))</f>
      </c>
      <c r="P70" s="11">
        <f>IF(OR(L70="",L70&lt;=0),"—",ROUND(N70/L70*100,1))</f>
      </c>
    </row>
    <row r="71">
      <c r="A71" s="7"/>
      <c r="B71" s="7"/>
      <c r="C71" s="7"/>
      <c r="D71" s="7"/>
      <c r="E71" s="7"/>
      <c r="F71" s="7"/>
      <c r="G71" s="7"/>
      <c r="H71" s="7"/>
      <c r="I71" s="7"/>
      <c r="J71" s="11">
        <f>IF(C71="","",C71+D71)</f>
      </c>
      <c r="K71" s="11">
        <f>IF(E71="","",E71+F71)</f>
      </c>
      <c r="L71" s="11">
        <f>IF(J71="","",J71-K71)</f>
      </c>
      <c r="M71" s="11">
        <f>IF(G71="","",G71-H71)</f>
      </c>
      <c r="N71" s="11">
        <f>IF(M71="","",M71-I71)</f>
      </c>
      <c r="O71" s="11">
        <f>IF(OR(L71="",L71&lt;=0),"자본잠식",ROUND(K71/L71*100,1))</f>
      </c>
      <c r="P71" s="11">
        <f>IF(OR(L71="",L71&lt;=0),"—",ROUND(N71/L71*100,1))</f>
      </c>
    </row>
    <row r="72">
      <c r="A72" s="7"/>
      <c r="B72" s="7"/>
      <c r="C72" s="7"/>
      <c r="D72" s="7"/>
      <c r="E72" s="7"/>
      <c r="F72" s="7"/>
      <c r="G72" s="7"/>
      <c r="H72" s="7"/>
      <c r="I72" s="7"/>
      <c r="J72" s="11">
        <f>IF(C72="","",C72+D72)</f>
      </c>
      <c r="K72" s="11">
        <f>IF(E72="","",E72+F72)</f>
      </c>
      <c r="L72" s="11">
        <f>IF(J72="","",J72-K72)</f>
      </c>
      <c r="M72" s="11">
        <f>IF(G72="","",G72-H72)</f>
      </c>
      <c r="N72" s="11">
        <f>IF(M72="","",M72-I72)</f>
      </c>
      <c r="O72" s="11">
        <f>IF(OR(L72="",L72&lt;=0),"자본잠식",ROUND(K72/L72*100,1))</f>
      </c>
      <c r="P72" s="11">
        <f>IF(OR(L72="",L72&lt;=0),"—",ROUND(N72/L72*100,1))</f>
      </c>
    </row>
    <row r="73">
      <c r="A73" s="7"/>
      <c r="B73" s="7"/>
      <c r="C73" s="7"/>
      <c r="D73" s="7"/>
      <c r="E73" s="7"/>
      <c r="F73" s="7"/>
      <c r="G73" s="7"/>
      <c r="H73" s="7"/>
      <c r="I73" s="7"/>
      <c r="J73" s="11">
        <f>IF(C73="","",C73+D73)</f>
      </c>
      <c r="K73" s="11">
        <f>IF(E73="","",E73+F73)</f>
      </c>
      <c r="L73" s="11">
        <f>IF(J73="","",J73-K73)</f>
      </c>
      <c r="M73" s="11">
        <f>IF(G73="","",G73-H73)</f>
      </c>
      <c r="N73" s="11">
        <f>IF(M73="","",M73-I73)</f>
      </c>
      <c r="O73" s="11">
        <f>IF(OR(L73="",L73&lt;=0),"자본잠식",ROUND(K73/L73*100,1))</f>
      </c>
      <c r="P73" s="11">
        <f>IF(OR(L73="",L73&lt;=0),"—",ROUND(N73/L73*100,1))</f>
      </c>
    </row>
    <row r="74">
      <c r="A74" s="7"/>
      <c r="B74" s="7"/>
      <c r="C74" s="7"/>
      <c r="D74" s="7"/>
      <c r="E74" s="7"/>
      <c r="F74" s="7"/>
      <c r="G74" s="7"/>
      <c r="H74" s="7"/>
      <c r="I74" s="7"/>
      <c r="J74" s="11">
        <f>IF(C74="","",C74+D74)</f>
      </c>
      <c r="K74" s="11">
        <f>IF(E74="","",E74+F74)</f>
      </c>
      <c r="L74" s="11">
        <f>IF(J74="","",J74-K74)</f>
      </c>
      <c r="M74" s="11">
        <f>IF(G74="","",G74-H74)</f>
      </c>
      <c r="N74" s="11">
        <f>IF(M74="","",M74-I74)</f>
      </c>
      <c r="O74" s="11">
        <f>IF(OR(L74="",L74&lt;=0),"자본잠식",ROUND(K74/L74*100,1))</f>
      </c>
      <c r="P74" s="11">
        <f>IF(OR(L74="",L74&lt;=0),"—",ROUND(N74/L74*100,1))</f>
      </c>
    </row>
    <row r="75">
      <c r="A75" s="7"/>
      <c r="B75" s="7"/>
      <c r="C75" s="7"/>
      <c r="D75" s="7"/>
      <c r="E75" s="7"/>
      <c r="F75" s="7"/>
      <c r="G75" s="7"/>
      <c r="H75" s="7"/>
      <c r="I75" s="7"/>
      <c r="J75" s="11">
        <f>IF(C75="","",C75+D75)</f>
      </c>
      <c r="K75" s="11">
        <f>IF(E75="","",E75+F75)</f>
      </c>
      <c r="L75" s="11">
        <f>IF(J75="","",J75-K75)</f>
      </c>
      <c r="M75" s="11">
        <f>IF(G75="","",G75-H75)</f>
      </c>
      <c r="N75" s="11">
        <f>IF(M75="","",M75-I75)</f>
      </c>
      <c r="O75" s="11">
        <f>IF(OR(L75="",L75&lt;=0),"자본잠식",ROUND(K75/L75*100,1))</f>
      </c>
      <c r="P75" s="11">
        <f>IF(OR(L75="",L75&lt;=0),"—",ROUND(N75/L75*100,1))</f>
      </c>
    </row>
    <row r="76">
      <c r="A76" s="7"/>
      <c r="B76" s="7"/>
      <c r="C76" s="7"/>
      <c r="D76" s="7"/>
      <c r="E76" s="7"/>
      <c r="F76" s="7"/>
      <c r="G76" s="7"/>
      <c r="H76" s="7"/>
      <c r="I76" s="7"/>
      <c r="J76" s="11">
        <f>IF(C76="","",C76+D76)</f>
      </c>
      <c r="K76" s="11">
        <f>IF(E76="","",E76+F76)</f>
      </c>
      <c r="L76" s="11">
        <f>IF(J76="","",J76-K76)</f>
      </c>
      <c r="M76" s="11">
        <f>IF(G76="","",G76-H76)</f>
      </c>
      <c r="N76" s="11">
        <f>IF(M76="","",M76-I76)</f>
      </c>
      <c r="O76" s="11">
        <f>IF(OR(L76="",L76&lt;=0),"자본잠식",ROUND(K76/L76*100,1))</f>
      </c>
      <c r="P76" s="11">
        <f>IF(OR(L76="",L76&lt;=0),"—",ROUND(N76/L76*100,1))</f>
      </c>
    </row>
    <row r="77">
      <c r="A77" s="7"/>
      <c r="B77" s="7"/>
      <c r="C77" s="7"/>
      <c r="D77" s="7"/>
      <c r="E77" s="7"/>
      <c r="F77" s="7"/>
      <c r="G77" s="7"/>
      <c r="H77" s="7"/>
      <c r="I77" s="7"/>
      <c r="J77" s="11">
        <f>IF(C77="","",C77+D77)</f>
      </c>
      <c r="K77" s="11">
        <f>IF(E77="","",E77+F77)</f>
      </c>
      <c r="L77" s="11">
        <f>IF(J77="","",J77-K77)</f>
      </c>
      <c r="M77" s="11">
        <f>IF(G77="","",G77-H77)</f>
      </c>
      <c r="N77" s="11">
        <f>IF(M77="","",M77-I77)</f>
      </c>
      <c r="O77" s="11">
        <f>IF(OR(L77="",L77&lt;=0),"자본잠식",ROUND(K77/L77*100,1))</f>
      </c>
      <c r="P77" s="11">
        <f>IF(OR(L77="",L77&lt;=0),"—",ROUND(N77/L77*100,1))</f>
      </c>
    </row>
    <row r="78">
      <c r="A78" s="7"/>
      <c r="B78" s="7"/>
      <c r="C78" s="7"/>
      <c r="D78" s="7"/>
      <c r="E78" s="7"/>
      <c r="F78" s="7"/>
      <c r="G78" s="7"/>
      <c r="H78" s="7"/>
      <c r="I78" s="7"/>
      <c r="J78" s="11">
        <f>IF(C78="","",C78+D78)</f>
      </c>
      <c r="K78" s="11">
        <f>IF(E78="","",E78+F78)</f>
      </c>
      <c r="L78" s="11">
        <f>IF(J78="","",J78-K78)</f>
      </c>
      <c r="M78" s="11">
        <f>IF(G78="","",G78-H78)</f>
      </c>
      <c r="N78" s="11">
        <f>IF(M78="","",M78-I78)</f>
      </c>
      <c r="O78" s="11">
        <f>IF(OR(L78="",L78&lt;=0),"자본잠식",ROUND(K78/L78*100,1))</f>
      </c>
      <c r="P78" s="11">
        <f>IF(OR(L78="",L78&lt;=0),"—",ROUND(N78/L78*100,1))</f>
      </c>
    </row>
    <row r="79">
      <c r="A79" s="7"/>
      <c r="B79" s="7"/>
      <c r="C79" s="7"/>
      <c r="D79" s="7"/>
      <c r="E79" s="7"/>
      <c r="F79" s="7"/>
      <c r="G79" s="7"/>
      <c r="H79" s="7"/>
      <c r="I79" s="7"/>
      <c r="J79" s="11">
        <f>IF(C79="","",C79+D79)</f>
      </c>
      <c r="K79" s="11">
        <f>IF(E79="","",E79+F79)</f>
      </c>
      <c r="L79" s="11">
        <f>IF(J79="","",J79-K79)</f>
      </c>
      <c r="M79" s="11">
        <f>IF(G79="","",G79-H79)</f>
      </c>
      <c r="N79" s="11">
        <f>IF(M79="","",M79-I79)</f>
      </c>
      <c r="O79" s="11">
        <f>IF(OR(L79="",L79&lt;=0),"자본잠식",ROUND(K79/L79*100,1))</f>
      </c>
      <c r="P79" s="11">
        <f>IF(OR(L79="",L79&lt;=0),"—",ROUND(N79/L79*100,1))</f>
      </c>
    </row>
    <row r="80">
      <c r="A80" s="7"/>
      <c r="B80" s="7"/>
      <c r="C80" s="7"/>
      <c r="D80" s="7"/>
      <c r="E80" s="7"/>
      <c r="F80" s="7"/>
      <c r="G80" s="7"/>
      <c r="H80" s="7"/>
      <c r="I80" s="7"/>
      <c r="J80" s="11">
        <f>IF(C80="","",C80+D80)</f>
      </c>
      <c r="K80" s="11">
        <f>IF(E80="","",E80+F80)</f>
      </c>
      <c r="L80" s="11">
        <f>IF(J80="","",J80-K80)</f>
      </c>
      <c r="M80" s="11">
        <f>IF(G80="","",G80-H80)</f>
      </c>
      <c r="N80" s="11">
        <f>IF(M80="","",M80-I80)</f>
      </c>
      <c r="O80" s="11">
        <f>IF(OR(L80="",L80&lt;=0),"자본잠식",ROUND(K80/L80*100,1))</f>
      </c>
      <c r="P80" s="11">
        <f>IF(OR(L80="",L80&lt;=0),"—",ROUND(N80/L80*100,1))</f>
      </c>
    </row>
    <row r="81">
      <c r="A81" s="7"/>
      <c r="B81" s="7"/>
      <c r="C81" s="7"/>
      <c r="D81" s="7"/>
      <c r="E81" s="7"/>
      <c r="F81" s="7"/>
      <c r="G81" s="7"/>
      <c r="H81" s="7"/>
      <c r="I81" s="7"/>
      <c r="J81" s="11">
        <f>IF(C81="","",C81+D81)</f>
      </c>
      <c r="K81" s="11">
        <f>IF(E81="","",E81+F81)</f>
      </c>
      <c r="L81" s="11">
        <f>IF(J81="","",J81-K81)</f>
      </c>
      <c r="M81" s="11">
        <f>IF(G81="","",G81-H81)</f>
      </c>
      <c r="N81" s="11">
        <f>IF(M81="","",M81-I81)</f>
      </c>
      <c r="O81" s="11">
        <f>IF(OR(L81="",L81&lt;=0),"자본잠식",ROUND(K81/L81*100,1))</f>
      </c>
      <c r="P81" s="11">
        <f>IF(OR(L81="",L81&lt;=0),"—",ROUND(N81/L81*100,1))</f>
      </c>
    </row>
    <row r="82">
      <c r="A82" s="7"/>
      <c r="B82" s="7"/>
      <c r="C82" s="7"/>
      <c r="D82" s="7"/>
      <c r="E82" s="7"/>
      <c r="F82" s="7"/>
      <c r="G82" s="7"/>
      <c r="H82" s="7"/>
      <c r="I82" s="7"/>
      <c r="J82" s="11">
        <f>IF(C82="","",C82+D82)</f>
      </c>
      <c r="K82" s="11">
        <f>IF(E82="","",E82+F82)</f>
      </c>
      <c r="L82" s="11">
        <f>IF(J82="","",J82-K82)</f>
      </c>
      <c r="M82" s="11">
        <f>IF(G82="","",G82-H82)</f>
      </c>
      <c r="N82" s="11">
        <f>IF(M82="","",M82-I82)</f>
      </c>
      <c r="O82" s="11">
        <f>IF(OR(L82="",L82&lt;=0),"자본잠식",ROUND(K82/L82*100,1))</f>
      </c>
      <c r="P82" s="11">
        <f>IF(OR(L82="",L82&lt;=0),"—",ROUND(N82/L82*100,1))</f>
      </c>
    </row>
    <row r="83">
      <c r="A83" s="7"/>
      <c r="B83" s="7"/>
      <c r="C83" s="7"/>
      <c r="D83" s="7"/>
      <c r="E83" s="7"/>
      <c r="F83" s="7"/>
      <c r="G83" s="7"/>
      <c r="H83" s="7"/>
      <c r="I83" s="7"/>
      <c r="J83" s="11">
        <f>IF(C83="","",C83+D83)</f>
      </c>
      <c r="K83" s="11">
        <f>IF(E83="","",E83+F83)</f>
      </c>
      <c r="L83" s="11">
        <f>IF(J83="","",J83-K83)</f>
      </c>
      <c r="M83" s="11">
        <f>IF(G83="","",G83-H83)</f>
      </c>
      <c r="N83" s="11">
        <f>IF(M83="","",M83-I83)</f>
      </c>
      <c r="O83" s="11">
        <f>IF(OR(L83="",L83&lt;=0),"자본잠식",ROUND(K83/L83*100,1))</f>
      </c>
      <c r="P83" s="11">
        <f>IF(OR(L83="",L83&lt;=0),"—",ROUND(N83/L83*100,1))</f>
      </c>
    </row>
    <row r="84">
      <c r="A84" s="7"/>
      <c r="B84" s="7"/>
      <c r="C84" s="7"/>
      <c r="D84" s="7"/>
      <c r="E84" s="7"/>
      <c r="F84" s="7"/>
      <c r="G84" s="7"/>
      <c r="H84" s="7"/>
      <c r="I84" s="7"/>
      <c r="J84" s="11">
        <f>IF(C84="","",C84+D84)</f>
      </c>
      <c r="K84" s="11">
        <f>IF(E84="","",E84+F84)</f>
      </c>
      <c r="L84" s="11">
        <f>IF(J84="","",J84-K84)</f>
      </c>
      <c r="M84" s="11">
        <f>IF(G84="","",G84-H84)</f>
      </c>
      <c r="N84" s="11">
        <f>IF(M84="","",M84-I84)</f>
      </c>
      <c r="O84" s="11">
        <f>IF(OR(L84="",L84&lt;=0),"자본잠식",ROUND(K84/L84*100,1))</f>
      </c>
      <c r="P84" s="11">
        <f>IF(OR(L84="",L84&lt;=0),"—",ROUND(N84/L84*100,1))</f>
      </c>
    </row>
    <row r="85">
      <c r="A85" s="7"/>
      <c r="B85" s="7"/>
      <c r="C85" s="7"/>
      <c r="D85" s="7"/>
      <c r="E85" s="7"/>
      <c r="F85" s="7"/>
      <c r="G85" s="7"/>
      <c r="H85" s="7"/>
      <c r="I85" s="7"/>
      <c r="J85" s="11">
        <f>IF(C85="","",C85+D85)</f>
      </c>
      <c r="K85" s="11">
        <f>IF(E85="","",E85+F85)</f>
      </c>
      <c r="L85" s="11">
        <f>IF(J85="","",J85-K85)</f>
      </c>
      <c r="M85" s="11">
        <f>IF(G85="","",G85-H85)</f>
      </c>
      <c r="N85" s="11">
        <f>IF(M85="","",M85-I85)</f>
      </c>
      <c r="O85" s="11">
        <f>IF(OR(L85="",L85&lt;=0),"자본잠식",ROUND(K85/L85*100,1))</f>
      </c>
      <c r="P85" s="11">
        <f>IF(OR(L85="",L85&lt;=0),"—",ROUND(N85/L85*100,1))</f>
      </c>
    </row>
    <row r="86">
      <c r="A86" s="7"/>
      <c r="B86" s="7"/>
      <c r="C86" s="7"/>
      <c r="D86" s="7"/>
      <c r="E86" s="7"/>
      <c r="F86" s="7"/>
      <c r="G86" s="7"/>
      <c r="H86" s="7"/>
      <c r="I86" s="7"/>
      <c r="J86" s="11">
        <f>IF(C86="","",C86+D86)</f>
      </c>
      <c r="K86" s="11">
        <f>IF(E86="","",E86+F86)</f>
      </c>
      <c r="L86" s="11">
        <f>IF(J86="","",J86-K86)</f>
      </c>
      <c r="M86" s="11">
        <f>IF(G86="","",G86-H86)</f>
      </c>
      <c r="N86" s="11">
        <f>IF(M86="","",M86-I86)</f>
      </c>
      <c r="O86" s="11">
        <f>IF(OR(L86="",L86&lt;=0),"자본잠식",ROUND(K86/L86*100,1))</f>
      </c>
      <c r="P86" s="11">
        <f>IF(OR(L86="",L86&lt;=0),"—",ROUND(N86/L86*100,1))</f>
      </c>
    </row>
    <row r="87">
      <c r="A87" s="7"/>
      <c r="B87" s="7"/>
      <c r="C87" s="7"/>
      <c r="D87" s="7"/>
      <c r="E87" s="7"/>
      <c r="F87" s="7"/>
      <c r="G87" s="7"/>
      <c r="H87" s="7"/>
      <c r="I87" s="7"/>
      <c r="J87" s="11">
        <f>IF(C87="","",C87+D87)</f>
      </c>
      <c r="K87" s="11">
        <f>IF(E87="","",E87+F87)</f>
      </c>
      <c r="L87" s="11">
        <f>IF(J87="","",J87-K87)</f>
      </c>
      <c r="M87" s="11">
        <f>IF(G87="","",G87-H87)</f>
      </c>
      <c r="N87" s="11">
        <f>IF(M87="","",M87-I87)</f>
      </c>
      <c r="O87" s="11">
        <f>IF(OR(L87="",L87&lt;=0),"자본잠식",ROUND(K87/L87*100,1))</f>
      </c>
      <c r="P87" s="11">
        <f>IF(OR(L87="",L87&lt;=0),"—",ROUND(N87/L87*100,1))</f>
      </c>
    </row>
    <row r="88">
      <c r="A88" s="7"/>
      <c r="B88" s="7"/>
      <c r="C88" s="7"/>
      <c r="D88" s="7"/>
      <c r="E88" s="7"/>
      <c r="F88" s="7"/>
      <c r="G88" s="7"/>
      <c r="H88" s="7"/>
      <c r="I88" s="7"/>
      <c r="J88" s="11">
        <f>IF(C88="","",C88+D88)</f>
      </c>
      <c r="K88" s="11">
        <f>IF(E88="","",E88+F88)</f>
      </c>
      <c r="L88" s="11">
        <f>IF(J88="","",J88-K88)</f>
      </c>
      <c r="M88" s="11">
        <f>IF(G88="","",G88-H88)</f>
      </c>
      <c r="N88" s="11">
        <f>IF(M88="","",M88-I88)</f>
      </c>
      <c r="O88" s="11">
        <f>IF(OR(L88="",L88&lt;=0),"자본잠식",ROUND(K88/L88*100,1))</f>
      </c>
      <c r="P88" s="11">
        <f>IF(OR(L88="",L88&lt;=0),"—",ROUND(N88/L88*100,1))</f>
      </c>
    </row>
    <row r="89">
      <c r="A89" s="7"/>
      <c r="B89" s="7"/>
      <c r="C89" s="7"/>
      <c r="D89" s="7"/>
      <c r="E89" s="7"/>
      <c r="F89" s="7"/>
      <c r="G89" s="7"/>
      <c r="H89" s="7"/>
      <c r="I89" s="7"/>
      <c r="J89" s="11">
        <f>IF(C89="","",C89+D89)</f>
      </c>
      <c r="K89" s="11">
        <f>IF(E89="","",E89+F89)</f>
      </c>
      <c r="L89" s="11">
        <f>IF(J89="","",J89-K89)</f>
      </c>
      <c r="M89" s="11">
        <f>IF(G89="","",G89-H89)</f>
      </c>
      <c r="N89" s="11">
        <f>IF(M89="","",M89-I89)</f>
      </c>
      <c r="O89" s="11">
        <f>IF(OR(L89="",L89&lt;=0),"자본잠식",ROUND(K89/L89*100,1))</f>
      </c>
      <c r="P89" s="11">
        <f>IF(OR(L89="",L89&lt;=0),"—",ROUND(N89/L89*100,1))</f>
      </c>
    </row>
    <row r="90">
      <c r="A90" s="7"/>
      <c r="B90" s="7"/>
      <c r="C90" s="7"/>
      <c r="D90" s="7"/>
      <c r="E90" s="7"/>
      <c r="F90" s="7"/>
      <c r="G90" s="7"/>
      <c r="H90" s="7"/>
      <c r="I90" s="7"/>
      <c r="J90" s="11">
        <f>IF(C90="","",C90+D90)</f>
      </c>
      <c r="K90" s="11">
        <f>IF(E90="","",E90+F90)</f>
      </c>
      <c r="L90" s="11">
        <f>IF(J90="","",J90-K90)</f>
      </c>
      <c r="M90" s="11">
        <f>IF(G90="","",G90-H90)</f>
      </c>
      <c r="N90" s="11">
        <f>IF(M90="","",M90-I90)</f>
      </c>
      <c r="O90" s="11">
        <f>IF(OR(L90="",L90&lt;=0),"자본잠식",ROUND(K90/L90*100,1))</f>
      </c>
      <c r="P90" s="11">
        <f>IF(OR(L90="",L90&lt;=0),"—",ROUND(N90/L90*100,1))</f>
      </c>
    </row>
    <row r="91">
      <c r="A91" s="7"/>
      <c r="B91" s="7"/>
      <c r="C91" s="7"/>
      <c r="D91" s="7"/>
      <c r="E91" s="7"/>
      <c r="F91" s="7"/>
      <c r="G91" s="7"/>
      <c r="H91" s="7"/>
      <c r="I91" s="7"/>
      <c r="J91" s="11">
        <f>IF(C91="","",C91+D91)</f>
      </c>
      <c r="K91" s="11">
        <f>IF(E91="","",E91+F91)</f>
      </c>
      <c r="L91" s="11">
        <f>IF(J91="","",J91-K91)</f>
      </c>
      <c r="M91" s="11">
        <f>IF(G91="","",G91-H91)</f>
      </c>
      <c r="N91" s="11">
        <f>IF(M91="","",M91-I91)</f>
      </c>
      <c r="O91" s="11">
        <f>IF(OR(L91="",L91&lt;=0),"자본잠식",ROUND(K91/L91*100,1))</f>
      </c>
      <c r="P91" s="11">
        <f>IF(OR(L91="",L91&lt;=0),"—",ROUND(N91/L91*100,1))</f>
      </c>
    </row>
    <row r="92">
      <c r="A92" s="7"/>
      <c r="B92" s="7"/>
      <c r="C92" s="7"/>
      <c r="D92" s="7"/>
      <c r="E92" s="7"/>
      <c r="F92" s="7"/>
      <c r="G92" s="7"/>
      <c r="H92" s="7"/>
      <c r="I92" s="7"/>
      <c r="J92" s="11">
        <f>IF(C92="","",C92+D92)</f>
      </c>
      <c r="K92" s="11">
        <f>IF(E92="","",E92+F92)</f>
      </c>
      <c r="L92" s="11">
        <f>IF(J92="","",J92-K92)</f>
      </c>
      <c r="M92" s="11">
        <f>IF(G92="","",G92-H92)</f>
      </c>
      <c r="N92" s="11">
        <f>IF(M92="","",M92-I92)</f>
      </c>
      <c r="O92" s="11">
        <f>IF(OR(L92="",L92&lt;=0),"자본잠식",ROUND(K92/L92*100,1))</f>
      </c>
      <c r="P92" s="11">
        <f>IF(OR(L92="",L92&lt;=0),"—",ROUND(N92/L92*100,1))</f>
      </c>
    </row>
    <row r="93">
      <c r="A93" s="7"/>
      <c r="B93" s="7"/>
      <c r="C93" s="7"/>
      <c r="D93" s="7"/>
      <c r="E93" s="7"/>
      <c r="F93" s="7"/>
      <c r="G93" s="7"/>
      <c r="H93" s="7"/>
      <c r="I93" s="7"/>
      <c r="J93" s="11">
        <f>IF(C93="","",C93+D93)</f>
      </c>
      <c r="K93" s="11">
        <f>IF(E93="","",E93+F93)</f>
      </c>
      <c r="L93" s="11">
        <f>IF(J93="","",J93-K93)</f>
      </c>
      <c r="M93" s="11">
        <f>IF(G93="","",G93-H93)</f>
      </c>
      <c r="N93" s="11">
        <f>IF(M93="","",M93-I93)</f>
      </c>
      <c r="O93" s="11">
        <f>IF(OR(L93="",L93&lt;=0),"자본잠식",ROUND(K93/L93*100,1))</f>
      </c>
      <c r="P93" s="11">
        <f>IF(OR(L93="",L93&lt;=0),"—",ROUND(N93/L93*100,1))</f>
      </c>
    </row>
    <row r="94">
      <c r="A94" s="7"/>
      <c r="B94" s="7"/>
      <c r="C94" s="7"/>
      <c r="D94" s="7"/>
      <c r="E94" s="7"/>
      <c r="F94" s="7"/>
      <c r="G94" s="7"/>
      <c r="H94" s="7"/>
      <c r="I94" s="7"/>
      <c r="J94" s="11">
        <f>IF(C94="","",C94+D94)</f>
      </c>
      <c r="K94" s="11">
        <f>IF(E94="","",E94+F94)</f>
      </c>
      <c r="L94" s="11">
        <f>IF(J94="","",J94-K94)</f>
      </c>
      <c r="M94" s="11">
        <f>IF(G94="","",G94-H94)</f>
      </c>
      <c r="N94" s="11">
        <f>IF(M94="","",M94-I94)</f>
      </c>
      <c r="O94" s="11">
        <f>IF(OR(L94="",L94&lt;=0),"자본잠식",ROUND(K94/L94*100,1))</f>
      </c>
      <c r="P94" s="11">
        <f>IF(OR(L94="",L94&lt;=0),"—",ROUND(N94/L94*100,1))</f>
      </c>
    </row>
    <row r="95">
      <c r="A95" s="7"/>
      <c r="B95" s="7"/>
      <c r="C95" s="7"/>
      <c r="D95" s="7"/>
      <c r="E95" s="7"/>
      <c r="F95" s="7"/>
      <c r="G95" s="7"/>
      <c r="H95" s="7"/>
      <c r="I95" s="7"/>
      <c r="J95" s="11">
        <f>IF(C95="","",C95+D95)</f>
      </c>
      <c r="K95" s="11">
        <f>IF(E95="","",E95+F95)</f>
      </c>
      <c r="L95" s="11">
        <f>IF(J95="","",J95-K95)</f>
      </c>
      <c r="M95" s="11">
        <f>IF(G95="","",G95-H95)</f>
      </c>
      <c r="N95" s="11">
        <f>IF(M95="","",M95-I95)</f>
      </c>
      <c r="O95" s="11">
        <f>IF(OR(L95="",L95&lt;=0),"자본잠식",ROUND(K95/L95*100,1))</f>
      </c>
      <c r="P95" s="11">
        <f>IF(OR(L95="",L95&lt;=0),"—",ROUND(N95/L95*100,1))</f>
      </c>
    </row>
    <row r="96">
      <c r="A96" s="7"/>
      <c r="B96" s="7"/>
      <c r="C96" s="7"/>
      <c r="D96" s="7"/>
      <c r="E96" s="7"/>
      <c r="F96" s="7"/>
      <c r="G96" s="7"/>
      <c r="H96" s="7"/>
      <c r="I96" s="7"/>
      <c r="J96" s="11">
        <f>IF(C96="","",C96+D96)</f>
      </c>
      <c r="K96" s="11">
        <f>IF(E96="","",E96+F96)</f>
      </c>
      <c r="L96" s="11">
        <f>IF(J96="","",J96-K96)</f>
      </c>
      <c r="M96" s="11">
        <f>IF(G96="","",G96-H96)</f>
      </c>
      <c r="N96" s="11">
        <f>IF(M96="","",M96-I96)</f>
      </c>
      <c r="O96" s="11">
        <f>IF(OR(L96="",L96&lt;=0),"자본잠식",ROUND(K96/L96*100,1))</f>
      </c>
      <c r="P96" s="11">
        <f>IF(OR(L96="",L96&lt;=0),"—",ROUND(N96/L96*100,1))</f>
      </c>
    </row>
    <row r="97">
      <c r="A97" s="7"/>
      <c r="B97" s="7"/>
      <c r="C97" s="7"/>
      <c r="D97" s="7"/>
      <c r="E97" s="7"/>
      <c r="F97" s="7"/>
      <c r="G97" s="7"/>
      <c r="H97" s="7"/>
      <c r="I97" s="7"/>
      <c r="J97" s="11">
        <f>IF(C97="","",C97+D97)</f>
      </c>
      <c r="K97" s="11">
        <f>IF(E97="","",E97+F97)</f>
      </c>
      <c r="L97" s="11">
        <f>IF(J97="","",J97-K97)</f>
      </c>
      <c r="M97" s="11">
        <f>IF(G97="","",G97-H97)</f>
      </c>
      <c r="N97" s="11">
        <f>IF(M97="","",M97-I97)</f>
      </c>
      <c r="O97" s="11">
        <f>IF(OR(L97="",L97&lt;=0),"자본잠식",ROUND(K97/L97*100,1))</f>
      </c>
      <c r="P97" s="11">
        <f>IF(OR(L97="",L97&lt;=0),"—",ROUND(N97/L97*100,1))</f>
      </c>
    </row>
    <row r="98">
      <c r="A98" s="7"/>
      <c r="B98" s="7"/>
      <c r="C98" s="7"/>
      <c r="D98" s="7"/>
      <c r="E98" s="7"/>
      <c r="F98" s="7"/>
      <c r="G98" s="7"/>
      <c r="H98" s="7"/>
      <c r="I98" s="7"/>
      <c r="J98" s="11">
        <f>IF(C98="","",C98+D98)</f>
      </c>
      <c r="K98" s="11">
        <f>IF(E98="","",E98+F98)</f>
      </c>
      <c r="L98" s="11">
        <f>IF(J98="","",J98-K98)</f>
      </c>
      <c r="M98" s="11">
        <f>IF(G98="","",G98-H98)</f>
      </c>
      <c r="N98" s="11">
        <f>IF(M98="","",M98-I98)</f>
      </c>
      <c r="O98" s="11">
        <f>IF(OR(L98="",L98&lt;=0),"자본잠식",ROUND(K98/L98*100,1))</f>
      </c>
      <c r="P98" s="11">
        <f>IF(OR(L98="",L98&lt;=0),"—",ROUND(N98/L98*100,1))</f>
      </c>
    </row>
    <row r="99">
      <c r="A99" s="7"/>
      <c r="B99" s="7"/>
      <c r="C99" s="7"/>
      <c r="D99" s="7"/>
      <c r="E99" s="7"/>
      <c r="F99" s="7"/>
      <c r="G99" s="7"/>
      <c r="H99" s="7"/>
      <c r="I99" s="7"/>
      <c r="J99" s="11">
        <f>IF(C99="","",C99+D99)</f>
      </c>
      <c r="K99" s="11">
        <f>IF(E99="","",E99+F99)</f>
      </c>
      <c r="L99" s="11">
        <f>IF(J99="","",J99-K99)</f>
      </c>
      <c r="M99" s="11">
        <f>IF(G99="","",G99-H99)</f>
      </c>
      <c r="N99" s="11">
        <f>IF(M99="","",M99-I99)</f>
      </c>
      <c r="O99" s="11">
        <f>IF(OR(L99="",L99&lt;=0),"자본잠식",ROUND(K99/L99*100,1))</f>
      </c>
      <c r="P99" s="11">
        <f>IF(OR(L99="",L99&lt;=0),"—",ROUND(N99/L99*100,1))</f>
      </c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11">
        <f>IF(C100="","",C100+D100)</f>
      </c>
      <c r="K100" s="11">
        <f>IF(E100="","",E100+F100)</f>
      </c>
      <c r="L100" s="11">
        <f>IF(J100="","",J100-K100)</f>
      </c>
      <c r="M100" s="11">
        <f>IF(G100="","",G100-H100)</f>
      </c>
      <c r="N100" s="11">
        <f>IF(M100="","",M100-I100)</f>
      </c>
      <c r="O100" s="11">
        <f>IF(OR(L100="",L100&lt;=0),"자본잠식",ROUND(K100/L100*100,1))</f>
      </c>
      <c r="P100" s="11">
        <f>IF(OR(L100="",L100&lt;=0),"—",ROUND(N100/L100*100,1))</f>
      </c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11">
        <f>IF(C101="","",C101+D101)</f>
      </c>
      <c r="K101" s="11">
        <f>IF(E101="","",E101+F101)</f>
      </c>
      <c r="L101" s="11">
        <f>IF(J101="","",J101-K101)</f>
      </c>
      <c r="M101" s="11">
        <f>IF(G101="","",G101-H101)</f>
      </c>
      <c r="N101" s="11">
        <f>IF(M101="","",M101-I101)</f>
      </c>
      <c r="O101" s="11">
        <f>IF(OR(L101="",L101&lt;=0),"자본잠식",ROUND(K101/L101*100,1))</f>
      </c>
      <c r="P101" s="11">
        <f>IF(OR(L101="",L101&lt;=0),"—",ROUND(N101/L101*100,1))</f>
      </c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11">
        <f>IF(C102="","",C102+D102)</f>
      </c>
      <c r="K102" s="11">
        <f>IF(E102="","",E102+F102)</f>
      </c>
      <c r="L102" s="11">
        <f>IF(J102="","",J102-K102)</f>
      </c>
      <c r="M102" s="11">
        <f>IF(G102="","",G102-H102)</f>
      </c>
      <c r="N102" s="11">
        <f>IF(M102="","",M102-I102)</f>
      </c>
      <c r="O102" s="11">
        <f>IF(OR(L102="",L102&lt;=0),"자본잠식",ROUND(K102/L102*100,1))</f>
      </c>
      <c r="P102" s="11">
        <f>IF(OR(L102="",L102&lt;=0),"—",ROUND(N102/L102*100,1))</f>
      </c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11">
        <f>IF(C103="","",C103+D103)</f>
      </c>
      <c r="K103" s="11">
        <f>IF(E103="","",E103+F103)</f>
      </c>
      <c r="L103" s="11">
        <f>IF(J103="","",J103-K103)</f>
      </c>
      <c r="M103" s="11">
        <f>IF(G103="","",G103-H103)</f>
      </c>
      <c r="N103" s="11">
        <f>IF(M103="","",M103-I103)</f>
      </c>
      <c r="O103" s="11">
        <f>IF(OR(L103="",L103&lt;=0),"자본잠식",ROUND(K103/L103*100,1))</f>
      </c>
      <c r="P103" s="11">
        <f>IF(OR(L103="",L103&lt;=0),"—",ROUND(N103/L103*100,1))</f>
      </c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11">
        <f>IF(C104="","",C104+D104)</f>
      </c>
      <c r="K104" s="11">
        <f>IF(E104="","",E104+F104)</f>
      </c>
      <c r="L104" s="11">
        <f>IF(J104="","",J104-K104)</f>
      </c>
      <c r="M104" s="11">
        <f>IF(G104="","",G104-H104)</f>
      </c>
      <c r="N104" s="11">
        <f>IF(M104="","",M104-I104)</f>
      </c>
      <c r="O104" s="11">
        <f>IF(OR(L104="",L104&lt;=0),"자본잠식",ROUND(K104/L104*100,1))</f>
      </c>
      <c r="P104" s="11">
        <f>IF(OR(L104="",L104&lt;=0),"—",ROUND(N104/L104*100,1))</f>
      </c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11">
        <f>IF(C105="","",C105+D105)</f>
      </c>
      <c r="K105" s="11">
        <f>IF(E105="","",E105+F105)</f>
      </c>
      <c r="L105" s="11">
        <f>IF(J105="","",J105-K105)</f>
      </c>
      <c r="M105" s="11">
        <f>IF(G105="","",G105-H105)</f>
      </c>
      <c r="N105" s="11">
        <f>IF(M105="","",M105-I105)</f>
      </c>
      <c r="O105" s="11">
        <f>IF(OR(L105="",L105&lt;=0),"자본잠식",ROUND(K105/L105*100,1))</f>
      </c>
      <c r="P105" s="11">
        <f>IF(OR(L105="",L105&lt;=0),"—",ROUND(N105/L105*100,1))</f>
      </c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11">
        <f>IF(C106="","",C106+D106)</f>
      </c>
      <c r="K106" s="11">
        <f>IF(E106="","",E106+F106)</f>
      </c>
      <c r="L106" s="11">
        <f>IF(J106="","",J106-K106)</f>
      </c>
      <c r="M106" s="11">
        <f>IF(G106="","",G106-H106)</f>
      </c>
      <c r="N106" s="11">
        <f>IF(M106="","",M106-I106)</f>
      </c>
      <c r="O106" s="11">
        <f>IF(OR(L106="",L106&lt;=0),"자본잠식",ROUND(K106/L106*100,1))</f>
      </c>
      <c r="P106" s="11">
        <f>IF(OR(L106="",L106&lt;=0),"—",ROUND(N106/L106*100,1))</f>
      </c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11">
        <f>IF(C107="","",C107+D107)</f>
      </c>
      <c r="K107" s="11">
        <f>IF(E107="","",E107+F107)</f>
      </c>
      <c r="L107" s="11">
        <f>IF(J107="","",J107-K107)</f>
      </c>
      <c r="M107" s="11">
        <f>IF(G107="","",G107-H107)</f>
      </c>
      <c r="N107" s="11">
        <f>IF(M107="","",M107-I107)</f>
      </c>
      <c r="O107" s="11">
        <f>IF(OR(L107="",L107&lt;=0),"자본잠식",ROUND(K107/L107*100,1))</f>
      </c>
      <c r="P107" s="11">
        <f>IF(OR(L107="",L107&lt;=0),"—",ROUND(N107/L107*100,1))</f>
      </c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11">
        <f>IF(C108="","",C108+D108)</f>
      </c>
      <c r="K108" s="11">
        <f>IF(E108="","",E108+F108)</f>
      </c>
      <c r="L108" s="11">
        <f>IF(J108="","",J108-K108)</f>
      </c>
      <c r="M108" s="11">
        <f>IF(G108="","",G108-H108)</f>
      </c>
      <c r="N108" s="11">
        <f>IF(M108="","",M108-I108)</f>
      </c>
      <c r="O108" s="11">
        <f>IF(OR(L108="",L108&lt;=0),"자본잠식",ROUND(K108/L108*100,1))</f>
      </c>
      <c r="P108" s="11">
        <f>IF(OR(L108="",L108&lt;=0),"—",ROUND(N108/L108*100,1))</f>
      </c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11">
        <f>IF(C109="","",C109+D109)</f>
      </c>
      <c r="K109" s="11">
        <f>IF(E109="","",E109+F109)</f>
      </c>
      <c r="L109" s="11">
        <f>IF(J109="","",J109-K109)</f>
      </c>
      <c r="M109" s="11">
        <f>IF(G109="","",G109-H109)</f>
      </c>
      <c r="N109" s="11">
        <f>IF(M109="","",M109-I109)</f>
      </c>
      <c r="O109" s="11">
        <f>IF(OR(L109="",L109&lt;=0),"자본잠식",ROUND(K109/L109*100,1))</f>
      </c>
      <c r="P109" s="11">
        <f>IF(OR(L109="",L109&lt;=0),"—",ROUND(N109/L109*100,1))</f>
      </c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11">
        <f>IF(C110="","",C110+D110)</f>
      </c>
      <c r="K110" s="11">
        <f>IF(E110="","",E110+F110)</f>
      </c>
      <c r="L110" s="11">
        <f>IF(J110="","",J110-K110)</f>
      </c>
      <c r="M110" s="11">
        <f>IF(G110="","",G110-H110)</f>
      </c>
      <c r="N110" s="11">
        <f>IF(M110="","",M110-I110)</f>
      </c>
      <c r="O110" s="11">
        <f>IF(OR(L110="",L110&lt;=0),"자본잠식",ROUND(K110/L110*100,1))</f>
      </c>
      <c r="P110" s="11">
        <f>IF(OR(L110="",L110&lt;=0),"—",ROUND(N110/L110*100,1))</f>
      </c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11">
        <f>IF(C111="","",C111+D111)</f>
      </c>
      <c r="K111" s="11">
        <f>IF(E111="","",E111+F111)</f>
      </c>
      <c r="L111" s="11">
        <f>IF(J111="","",J111-K111)</f>
      </c>
      <c r="M111" s="11">
        <f>IF(G111="","",G111-H111)</f>
      </c>
      <c r="N111" s="11">
        <f>IF(M111="","",M111-I111)</f>
      </c>
      <c r="O111" s="11">
        <f>IF(OR(L111="",L111&lt;=0),"자본잠식",ROUND(K111/L111*100,1))</f>
      </c>
      <c r="P111" s="11">
        <f>IF(OR(L111="",L111&lt;=0),"—",ROUND(N111/L111*100,1))</f>
      </c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11">
        <f>IF(C112="","",C112+D112)</f>
      </c>
      <c r="K112" s="11">
        <f>IF(E112="","",E112+F112)</f>
      </c>
      <c r="L112" s="11">
        <f>IF(J112="","",J112-K112)</f>
      </c>
      <c r="M112" s="11">
        <f>IF(G112="","",G112-H112)</f>
      </c>
      <c r="N112" s="11">
        <f>IF(M112="","",M112-I112)</f>
      </c>
      <c r="O112" s="11">
        <f>IF(OR(L112="",L112&lt;=0),"자본잠식",ROUND(K112/L112*100,1))</f>
      </c>
      <c r="P112" s="11">
        <f>IF(OR(L112="",L112&lt;=0),"—",ROUND(N112/L112*100,1))</f>
      </c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11">
        <f>IF(C113="","",C113+D113)</f>
      </c>
      <c r="K113" s="11">
        <f>IF(E113="","",E113+F113)</f>
      </c>
      <c r="L113" s="11">
        <f>IF(J113="","",J113-K113)</f>
      </c>
      <c r="M113" s="11">
        <f>IF(G113="","",G113-H113)</f>
      </c>
      <c r="N113" s="11">
        <f>IF(M113="","",M113-I113)</f>
      </c>
      <c r="O113" s="11">
        <f>IF(OR(L113="",L113&lt;=0),"자본잠식",ROUND(K113/L113*100,1))</f>
      </c>
      <c r="P113" s="11">
        <f>IF(OR(L113="",L113&lt;=0),"—",ROUND(N113/L113*100,1))</f>
      </c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11">
        <f>IF(C114="","",C114+D114)</f>
      </c>
      <c r="K114" s="11">
        <f>IF(E114="","",E114+F114)</f>
      </c>
      <c r="L114" s="11">
        <f>IF(J114="","",J114-K114)</f>
      </c>
      <c r="M114" s="11">
        <f>IF(G114="","",G114-H114)</f>
      </c>
      <c r="N114" s="11">
        <f>IF(M114="","",M114-I114)</f>
      </c>
      <c r="O114" s="11">
        <f>IF(OR(L114="",L114&lt;=0),"자본잠식",ROUND(K114/L114*100,1))</f>
      </c>
      <c r="P114" s="11">
        <f>IF(OR(L114="",L114&lt;=0),"—",ROUND(N114/L114*100,1))</f>
      </c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11">
        <f>IF(C115="","",C115+D115)</f>
      </c>
      <c r="K115" s="11">
        <f>IF(E115="","",E115+F115)</f>
      </c>
      <c r="L115" s="11">
        <f>IF(J115="","",J115-K115)</f>
      </c>
      <c r="M115" s="11">
        <f>IF(G115="","",G115-H115)</f>
      </c>
      <c r="N115" s="11">
        <f>IF(M115="","",M115-I115)</f>
      </c>
      <c r="O115" s="11">
        <f>IF(OR(L115="",L115&lt;=0),"자본잠식",ROUND(K115/L115*100,1))</f>
      </c>
      <c r="P115" s="11">
        <f>IF(OR(L115="",L115&lt;=0),"—",ROUND(N115/L115*100,1))</f>
      </c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11">
        <f>IF(C116="","",C116+D116)</f>
      </c>
      <c r="K116" s="11">
        <f>IF(E116="","",E116+F116)</f>
      </c>
      <c r="L116" s="11">
        <f>IF(J116="","",J116-K116)</f>
      </c>
      <c r="M116" s="11">
        <f>IF(G116="","",G116-H116)</f>
      </c>
      <c r="N116" s="11">
        <f>IF(M116="","",M116-I116)</f>
      </c>
      <c r="O116" s="11">
        <f>IF(OR(L116="",L116&lt;=0),"자본잠식",ROUND(K116/L116*100,1))</f>
      </c>
      <c r="P116" s="11">
        <f>IF(OR(L116="",L116&lt;=0),"—",ROUND(N116/L116*100,1))</f>
      </c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11">
        <f>IF(C117="","",C117+D117)</f>
      </c>
      <c r="K117" s="11">
        <f>IF(E117="","",E117+F117)</f>
      </c>
      <c r="L117" s="11">
        <f>IF(J117="","",J117-K117)</f>
      </c>
      <c r="M117" s="11">
        <f>IF(G117="","",G117-H117)</f>
      </c>
      <c r="N117" s="11">
        <f>IF(M117="","",M117-I117)</f>
      </c>
      <c r="O117" s="11">
        <f>IF(OR(L117="",L117&lt;=0),"자본잠식",ROUND(K117/L117*100,1))</f>
      </c>
      <c r="P117" s="11">
        <f>IF(OR(L117="",L117&lt;=0),"—",ROUND(N117/L117*100,1))</f>
      </c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11">
        <f>IF(C118="","",C118+D118)</f>
      </c>
      <c r="K118" s="11">
        <f>IF(E118="","",E118+F118)</f>
      </c>
      <c r="L118" s="11">
        <f>IF(J118="","",J118-K118)</f>
      </c>
      <c r="M118" s="11">
        <f>IF(G118="","",G118-H118)</f>
      </c>
      <c r="N118" s="11">
        <f>IF(M118="","",M118-I118)</f>
      </c>
      <c r="O118" s="11">
        <f>IF(OR(L118="",L118&lt;=0),"자본잠식",ROUND(K118/L118*100,1))</f>
      </c>
      <c r="P118" s="11">
        <f>IF(OR(L118="",L118&lt;=0),"—",ROUND(N118/L118*100,1))</f>
      </c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11">
        <f>IF(C119="","",C119+D119)</f>
      </c>
      <c r="K119" s="11">
        <f>IF(E119="","",E119+F119)</f>
      </c>
      <c r="L119" s="11">
        <f>IF(J119="","",J119-K119)</f>
      </c>
      <c r="M119" s="11">
        <f>IF(G119="","",G119-H119)</f>
      </c>
      <c r="N119" s="11">
        <f>IF(M119="","",M119-I119)</f>
      </c>
      <c r="O119" s="11">
        <f>IF(OR(L119="",L119&lt;=0),"자본잠식",ROUND(K119/L119*100,1))</f>
      </c>
      <c r="P119" s="11">
        <f>IF(OR(L119="",L119&lt;=0),"—",ROUND(N119/L119*100,1))</f>
      </c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11">
        <f>IF(C120="","",C120+D120)</f>
      </c>
      <c r="K120" s="11">
        <f>IF(E120="","",E120+F120)</f>
      </c>
      <c r="L120" s="11">
        <f>IF(J120="","",J120-K120)</f>
      </c>
      <c r="M120" s="11">
        <f>IF(G120="","",G120-H120)</f>
      </c>
      <c r="N120" s="11">
        <f>IF(M120="","",M120-I120)</f>
      </c>
      <c r="O120" s="11">
        <f>IF(OR(L120="",L120&lt;=0),"자본잠식",ROUND(K120/L120*100,1))</f>
      </c>
      <c r="P120" s="11">
        <f>IF(OR(L120="",L120&lt;=0),"—",ROUND(N120/L120*100,1))</f>
      </c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11">
        <f>IF(C121="","",C121+D121)</f>
      </c>
      <c r="K121" s="11">
        <f>IF(E121="","",E121+F121)</f>
      </c>
      <c r="L121" s="11">
        <f>IF(J121="","",J121-K121)</f>
      </c>
      <c r="M121" s="11">
        <f>IF(G121="","",G121-H121)</f>
      </c>
      <c r="N121" s="11">
        <f>IF(M121="","",M121-I121)</f>
      </c>
      <c r="O121" s="11">
        <f>IF(OR(L121="",L121&lt;=0),"자본잠식",ROUND(K121/L121*100,1))</f>
      </c>
      <c r="P121" s="11">
        <f>IF(OR(L121="",L121&lt;=0),"—",ROUND(N121/L121*100,1))</f>
      </c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11">
        <f>IF(C122="","",C122+D122)</f>
      </c>
      <c r="K122" s="11">
        <f>IF(E122="","",E122+F122)</f>
      </c>
      <c r="L122" s="11">
        <f>IF(J122="","",J122-K122)</f>
      </c>
      <c r="M122" s="11">
        <f>IF(G122="","",G122-H122)</f>
      </c>
      <c r="N122" s="11">
        <f>IF(M122="","",M122-I122)</f>
      </c>
      <c r="O122" s="11">
        <f>IF(OR(L122="",L122&lt;=0),"자본잠식",ROUND(K122/L122*100,1))</f>
      </c>
      <c r="P122" s="11">
        <f>IF(OR(L122="",L122&lt;=0),"—",ROUND(N122/L122*100,1))</f>
      </c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11">
        <f>IF(C123="","",C123+D123)</f>
      </c>
      <c r="K123" s="11">
        <f>IF(E123="","",E123+F123)</f>
      </c>
      <c r="L123" s="11">
        <f>IF(J123="","",J123-K123)</f>
      </c>
      <c r="M123" s="11">
        <f>IF(G123="","",G123-H123)</f>
      </c>
      <c r="N123" s="11">
        <f>IF(M123="","",M123-I123)</f>
      </c>
      <c r="O123" s="11">
        <f>IF(OR(L123="",L123&lt;=0),"자본잠식",ROUND(K123/L123*100,1))</f>
      </c>
      <c r="P123" s="11">
        <f>IF(OR(L123="",L123&lt;=0),"—",ROUND(N123/L123*100,1))</f>
      </c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11">
        <f>IF(C124="","",C124+D124)</f>
      </c>
      <c r="K124" s="11">
        <f>IF(E124="","",E124+F124)</f>
      </c>
      <c r="L124" s="11">
        <f>IF(J124="","",J124-K124)</f>
      </c>
      <c r="M124" s="11">
        <f>IF(G124="","",G124-H124)</f>
      </c>
      <c r="N124" s="11">
        <f>IF(M124="","",M124-I124)</f>
      </c>
      <c r="O124" s="11">
        <f>IF(OR(L124="",L124&lt;=0),"자본잠식",ROUND(K124/L124*100,1))</f>
      </c>
      <c r="P124" s="11">
        <f>IF(OR(L124="",L124&lt;=0),"—",ROUND(N124/L124*100,1))</f>
      </c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11">
        <f>IF(C125="","",C125+D125)</f>
      </c>
      <c r="K125" s="11">
        <f>IF(E125="","",E125+F125)</f>
      </c>
      <c r="L125" s="11">
        <f>IF(J125="","",J125-K125)</f>
      </c>
      <c r="M125" s="11">
        <f>IF(G125="","",G125-H125)</f>
      </c>
      <c r="N125" s="11">
        <f>IF(M125="","",M125-I125)</f>
      </c>
      <c r="O125" s="11">
        <f>IF(OR(L125="",L125&lt;=0),"자본잠식",ROUND(K125/L125*100,1))</f>
      </c>
      <c r="P125" s="11">
        <f>IF(OR(L125="",L125&lt;=0),"—",ROUND(N125/L125*100,1))</f>
      </c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11">
        <f>IF(C126="","",C126+D126)</f>
      </c>
      <c r="K126" s="11">
        <f>IF(E126="","",E126+F126)</f>
      </c>
      <c r="L126" s="11">
        <f>IF(J126="","",J126-K126)</f>
      </c>
      <c r="M126" s="11">
        <f>IF(G126="","",G126-H126)</f>
      </c>
      <c r="N126" s="11">
        <f>IF(M126="","",M126-I126)</f>
      </c>
      <c r="O126" s="11">
        <f>IF(OR(L126="",L126&lt;=0),"자본잠식",ROUND(K126/L126*100,1))</f>
      </c>
      <c r="P126" s="11">
        <f>IF(OR(L126="",L126&lt;=0),"—",ROUND(N126/L126*100,1))</f>
      </c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11">
        <f>IF(C127="","",C127+D127)</f>
      </c>
      <c r="K127" s="11">
        <f>IF(E127="","",E127+F127)</f>
      </c>
      <c r="L127" s="11">
        <f>IF(J127="","",J127-K127)</f>
      </c>
      <c r="M127" s="11">
        <f>IF(G127="","",G127-H127)</f>
      </c>
      <c r="N127" s="11">
        <f>IF(M127="","",M127-I127)</f>
      </c>
      <c r="O127" s="11">
        <f>IF(OR(L127="",L127&lt;=0),"자본잠식",ROUND(K127/L127*100,1))</f>
      </c>
      <c r="P127" s="11">
        <f>IF(OR(L127="",L127&lt;=0),"—",ROUND(N127/L127*100,1))</f>
      </c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11">
        <f>IF(C128="","",C128+D128)</f>
      </c>
      <c r="K128" s="11">
        <f>IF(E128="","",E128+F128)</f>
      </c>
      <c r="L128" s="11">
        <f>IF(J128="","",J128-K128)</f>
      </c>
      <c r="M128" s="11">
        <f>IF(G128="","",G128-H128)</f>
      </c>
      <c r="N128" s="11">
        <f>IF(M128="","",M128-I128)</f>
      </c>
      <c r="O128" s="11">
        <f>IF(OR(L128="",L128&lt;=0),"자본잠식",ROUND(K128/L128*100,1))</f>
      </c>
      <c r="P128" s="11">
        <f>IF(OR(L128="",L128&lt;=0),"—",ROUND(N128/L128*100,1))</f>
      </c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11">
        <f>IF(C129="","",C129+D129)</f>
      </c>
      <c r="K129" s="11">
        <f>IF(E129="","",E129+F129)</f>
      </c>
      <c r="L129" s="11">
        <f>IF(J129="","",J129-K129)</f>
      </c>
      <c r="M129" s="11">
        <f>IF(G129="","",G129-H129)</f>
      </c>
      <c r="N129" s="11">
        <f>IF(M129="","",M129-I129)</f>
      </c>
      <c r="O129" s="11">
        <f>IF(OR(L129="",L129&lt;=0),"자본잠식",ROUND(K129/L129*100,1))</f>
      </c>
      <c r="P129" s="11">
        <f>IF(OR(L129="",L129&lt;=0),"—",ROUND(N129/L129*100,1))</f>
      </c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11">
        <f>IF(C130="","",C130+D130)</f>
      </c>
      <c r="K130" s="11">
        <f>IF(E130="","",E130+F130)</f>
      </c>
      <c r="L130" s="11">
        <f>IF(J130="","",J130-K130)</f>
      </c>
      <c r="M130" s="11">
        <f>IF(G130="","",G130-H130)</f>
      </c>
      <c r="N130" s="11">
        <f>IF(M130="","",M130-I130)</f>
      </c>
      <c r="O130" s="11">
        <f>IF(OR(L130="",L130&lt;=0),"자본잠식",ROUND(K130/L130*100,1))</f>
      </c>
      <c r="P130" s="11">
        <f>IF(OR(L130="",L130&lt;=0),"—",ROUND(N130/L130*100,1))</f>
      </c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11">
        <f>IF(C131="","",C131+D131)</f>
      </c>
      <c r="K131" s="11">
        <f>IF(E131="","",E131+F131)</f>
      </c>
      <c r="L131" s="11">
        <f>IF(J131="","",J131-K131)</f>
      </c>
      <c r="M131" s="11">
        <f>IF(G131="","",G131-H131)</f>
      </c>
      <c r="N131" s="11">
        <f>IF(M131="","",M131-I131)</f>
      </c>
      <c r="O131" s="11">
        <f>IF(OR(L131="",L131&lt;=0),"자본잠식",ROUND(K131/L131*100,1))</f>
      </c>
      <c r="P131" s="11">
        <f>IF(OR(L131="",L131&lt;=0),"—",ROUND(N131/L131*100,1))</f>
      </c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11">
        <f>IF(C132="","",C132+D132)</f>
      </c>
      <c r="K132" s="11">
        <f>IF(E132="","",E132+F132)</f>
      </c>
      <c r="L132" s="11">
        <f>IF(J132="","",J132-K132)</f>
      </c>
      <c r="M132" s="11">
        <f>IF(G132="","",G132-H132)</f>
      </c>
      <c r="N132" s="11">
        <f>IF(M132="","",M132-I132)</f>
      </c>
      <c r="O132" s="11">
        <f>IF(OR(L132="",L132&lt;=0),"자본잠식",ROUND(K132/L132*100,1))</f>
      </c>
      <c r="P132" s="11">
        <f>IF(OR(L132="",L132&lt;=0),"—",ROUND(N132/L132*100,1))</f>
      </c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11">
        <f>IF(C133="","",C133+D133)</f>
      </c>
      <c r="K133" s="11">
        <f>IF(E133="","",E133+F133)</f>
      </c>
      <c r="L133" s="11">
        <f>IF(J133="","",J133-K133)</f>
      </c>
      <c r="M133" s="11">
        <f>IF(G133="","",G133-H133)</f>
      </c>
      <c r="N133" s="11">
        <f>IF(M133="","",M133-I133)</f>
      </c>
      <c r="O133" s="11">
        <f>IF(OR(L133="",L133&lt;=0),"자본잠식",ROUND(K133/L133*100,1))</f>
      </c>
      <c r="P133" s="11">
        <f>IF(OR(L133="",L133&lt;=0),"—",ROUND(N133/L133*100,1))</f>
      </c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11">
        <f>IF(C134="","",C134+D134)</f>
      </c>
      <c r="K134" s="11">
        <f>IF(E134="","",E134+F134)</f>
      </c>
      <c r="L134" s="11">
        <f>IF(J134="","",J134-K134)</f>
      </c>
      <c r="M134" s="11">
        <f>IF(G134="","",G134-H134)</f>
      </c>
      <c r="N134" s="11">
        <f>IF(M134="","",M134-I134)</f>
      </c>
      <c r="O134" s="11">
        <f>IF(OR(L134="",L134&lt;=0),"자본잠식",ROUND(K134/L134*100,1))</f>
      </c>
      <c r="P134" s="11">
        <f>IF(OR(L134="",L134&lt;=0),"—",ROUND(N134/L134*100,1))</f>
      </c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11">
        <f>IF(C135="","",C135+D135)</f>
      </c>
      <c r="K135" s="11">
        <f>IF(E135="","",E135+F135)</f>
      </c>
      <c r="L135" s="11">
        <f>IF(J135="","",J135-K135)</f>
      </c>
      <c r="M135" s="11">
        <f>IF(G135="","",G135-H135)</f>
      </c>
      <c r="N135" s="11">
        <f>IF(M135="","",M135-I135)</f>
      </c>
      <c r="O135" s="11">
        <f>IF(OR(L135="",L135&lt;=0),"자본잠식",ROUND(K135/L135*100,1))</f>
      </c>
      <c r="P135" s="11">
        <f>IF(OR(L135="",L135&lt;=0),"—",ROUND(N135/L135*100,1))</f>
      </c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11">
        <f>IF(C136="","",C136+D136)</f>
      </c>
      <c r="K136" s="11">
        <f>IF(E136="","",E136+F136)</f>
      </c>
      <c r="L136" s="11">
        <f>IF(J136="","",J136-K136)</f>
      </c>
      <c r="M136" s="11">
        <f>IF(G136="","",G136-H136)</f>
      </c>
      <c r="N136" s="11">
        <f>IF(M136="","",M136-I136)</f>
      </c>
      <c r="O136" s="11">
        <f>IF(OR(L136="",L136&lt;=0),"자본잠식",ROUND(K136/L136*100,1))</f>
      </c>
      <c r="P136" s="11">
        <f>IF(OR(L136="",L136&lt;=0),"—",ROUND(N136/L136*100,1))</f>
      </c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11">
        <f>IF(C137="","",C137+D137)</f>
      </c>
      <c r="K137" s="11">
        <f>IF(E137="","",E137+F137)</f>
      </c>
      <c r="L137" s="11">
        <f>IF(J137="","",J137-K137)</f>
      </c>
      <c r="M137" s="11">
        <f>IF(G137="","",G137-H137)</f>
      </c>
      <c r="N137" s="11">
        <f>IF(M137="","",M137-I137)</f>
      </c>
      <c r="O137" s="11">
        <f>IF(OR(L137="",L137&lt;=0),"자본잠식",ROUND(K137/L137*100,1))</f>
      </c>
      <c r="P137" s="11">
        <f>IF(OR(L137="",L137&lt;=0),"—",ROUND(N137/L137*100,1))</f>
      </c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11">
        <f>IF(C138="","",C138+D138)</f>
      </c>
      <c r="K138" s="11">
        <f>IF(E138="","",E138+F138)</f>
      </c>
      <c r="L138" s="11">
        <f>IF(J138="","",J138-K138)</f>
      </c>
      <c r="M138" s="11">
        <f>IF(G138="","",G138-H138)</f>
      </c>
      <c r="N138" s="11">
        <f>IF(M138="","",M138-I138)</f>
      </c>
      <c r="O138" s="11">
        <f>IF(OR(L138="",L138&lt;=0),"자본잠식",ROUND(K138/L138*100,1))</f>
      </c>
      <c r="P138" s="11">
        <f>IF(OR(L138="",L138&lt;=0),"—",ROUND(N138/L138*100,1))</f>
      </c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11">
        <f>IF(C139="","",C139+D139)</f>
      </c>
      <c r="K139" s="11">
        <f>IF(E139="","",E139+F139)</f>
      </c>
      <c r="L139" s="11">
        <f>IF(J139="","",J139-K139)</f>
      </c>
      <c r="M139" s="11">
        <f>IF(G139="","",G139-H139)</f>
      </c>
      <c r="N139" s="11">
        <f>IF(M139="","",M139-I139)</f>
      </c>
      <c r="O139" s="11">
        <f>IF(OR(L139="",L139&lt;=0),"자본잠식",ROUND(K139/L139*100,1))</f>
      </c>
      <c r="P139" s="11">
        <f>IF(OR(L139="",L139&lt;=0),"—",ROUND(N139/L139*100,1))</f>
      </c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11">
        <f>IF(C140="","",C140+D140)</f>
      </c>
      <c r="K140" s="11">
        <f>IF(E140="","",E140+F140)</f>
      </c>
      <c r="L140" s="11">
        <f>IF(J140="","",J140-K140)</f>
      </c>
      <c r="M140" s="11">
        <f>IF(G140="","",G140-H140)</f>
      </c>
      <c r="N140" s="11">
        <f>IF(M140="","",M140-I140)</f>
      </c>
      <c r="O140" s="11">
        <f>IF(OR(L140="",L140&lt;=0),"자본잠식",ROUND(K140/L140*100,1))</f>
      </c>
      <c r="P140" s="11">
        <f>IF(OR(L140="",L140&lt;=0),"—",ROUND(N140/L140*100,1))</f>
      </c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11">
        <f>IF(C141="","",C141+D141)</f>
      </c>
      <c r="K141" s="11">
        <f>IF(E141="","",E141+F141)</f>
      </c>
      <c r="L141" s="11">
        <f>IF(J141="","",J141-K141)</f>
      </c>
      <c r="M141" s="11">
        <f>IF(G141="","",G141-H141)</f>
      </c>
      <c r="N141" s="11">
        <f>IF(M141="","",M141-I141)</f>
      </c>
      <c r="O141" s="11">
        <f>IF(OR(L141="",L141&lt;=0),"자본잠식",ROUND(K141/L141*100,1))</f>
      </c>
      <c r="P141" s="11">
        <f>IF(OR(L141="",L141&lt;=0),"—",ROUND(N141/L141*100,1))</f>
      </c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11">
        <f>IF(C142="","",C142+D142)</f>
      </c>
      <c r="K142" s="11">
        <f>IF(E142="","",E142+F142)</f>
      </c>
      <c r="L142" s="11">
        <f>IF(J142="","",J142-K142)</f>
      </c>
      <c r="M142" s="11">
        <f>IF(G142="","",G142-H142)</f>
      </c>
      <c r="N142" s="11">
        <f>IF(M142="","",M142-I142)</f>
      </c>
      <c r="O142" s="11">
        <f>IF(OR(L142="",L142&lt;=0),"자본잠식",ROUND(K142/L142*100,1))</f>
      </c>
      <c r="P142" s="11">
        <f>IF(OR(L142="",L142&lt;=0),"—",ROUND(N142/L142*100,1))</f>
      </c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11">
        <f>IF(C143="","",C143+D143)</f>
      </c>
      <c r="K143" s="11">
        <f>IF(E143="","",E143+F143)</f>
      </c>
      <c r="L143" s="11">
        <f>IF(J143="","",J143-K143)</f>
      </c>
      <c r="M143" s="11">
        <f>IF(G143="","",G143-H143)</f>
      </c>
      <c r="N143" s="11">
        <f>IF(M143="","",M143-I143)</f>
      </c>
      <c r="O143" s="11">
        <f>IF(OR(L143="",L143&lt;=0),"자본잠식",ROUND(K143/L143*100,1))</f>
      </c>
      <c r="P143" s="11">
        <f>IF(OR(L143="",L143&lt;=0),"—",ROUND(N143/L143*100,1))</f>
      </c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11">
        <f>IF(C144="","",C144+D144)</f>
      </c>
      <c r="K144" s="11">
        <f>IF(E144="","",E144+F144)</f>
      </c>
      <c r="L144" s="11">
        <f>IF(J144="","",J144-K144)</f>
      </c>
      <c r="M144" s="11">
        <f>IF(G144="","",G144-H144)</f>
      </c>
      <c r="N144" s="11">
        <f>IF(M144="","",M144-I144)</f>
      </c>
      <c r="O144" s="11">
        <f>IF(OR(L144="",L144&lt;=0),"자본잠식",ROUND(K144/L144*100,1))</f>
      </c>
      <c r="P144" s="11">
        <f>IF(OR(L144="",L144&lt;=0),"—",ROUND(N144/L144*100,1))</f>
      </c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11">
        <f>IF(C145="","",C145+D145)</f>
      </c>
      <c r="K145" s="11">
        <f>IF(E145="","",E145+F145)</f>
      </c>
      <c r="L145" s="11">
        <f>IF(J145="","",J145-K145)</f>
      </c>
      <c r="M145" s="11">
        <f>IF(G145="","",G145-H145)</f>
      </c>
      <c r="N145" s="11">
        <f>IF(M145="","",M145-I145)</f>
      </c>
      <c r="O145" s="11">
        <f>IF(OR(L145="",L145&lt;=0),"자본잠식",ROUND(K145/L145*100,1))</f>
      </c>
      <c r="P145" s="11">
        <f>IF(OR(L145="",L145&lt;=0),"—",ROUND(N145/L145*100,1))</f>
      </c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11">
        <f>IF(C146="","",C146+D146)</f>
      </c>
      <c r="K146" s="11">
        <f>IF(E146="","",E146+F146)</f>
      </c>
      <c r="L146" s="11">
        <f>IF(J146="","",J146-K146)</f>
      </c>
      <c r="M146" s="11">
        <f>IF(G146="","",G146-H146)</f>
      </c>
      <c r="N146" s="11">
        <f>IF(M146="","",M146-I146)</f>
      </c>
      <c r="O146" s="11">
        <f>IF(OR(L146="",L146&lt;=0),"자본잠식",ROUND(K146/L146*100,1))</f>
      </c>
      <c r="P146" s="11">
        <f>IF(OR(L146="",L146&lt;=0),"—",ROUND(N146/L146*100,1))</f>
      </c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11">
        <f>IF(C147="","",C147+D147)</f>
      </c>
      <c r="K147" s="11">
        <f>IF(E147="","",E147+F147)</f>
      </c>
      <c r="L147" s="11">
        <f>IF(J147="","",J147-K147)</f>
      </c>
      <c r="M147" s="11">
        <f>IF(G147="","",G147-H147)</f>
      </c>
      <c r="N147" s="11">
        <f>IF(M147="","",M147-I147)</f>
      </c>
      <c r="O147" s="11">
        <f>IF(OR(L147="",L147&lt;=0),"자본잠식",ROUND(K147/L147*100,1))</f>
      </c>
      <c r="P147" s="11">
        <f>IF(OR(L147="",L147&lt;=0),"—",ROUND(N147/L147*100,1))</f>
      </c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11">
        <f>IF(C148="","",C148+D148)</f>
      </c>
      <c r="K148" s="11">
        <f>IF(E148="","",E148+F148)</f>
      </c>
      <c r="L148" s="11">
        <f>IF(J148="","",J148-K148)</f>
      </c>
      <c r="M148" s="11">
        <f>IF(G148="","",G148-H148)</f>
      </c>
      <c r="N148" s="11">
        <f>IF(M148="","",M148-I148)</f>
      </c>
      <c r="O148" s="11">
        <f>IF(OR(L148="",L148&lt;=0),"자본잠식",ROUND(K148/L148*100,1))</f>
      </c>
      <c r="P148" s="11">
        <f>IF(OR(L148="",L148&lt;=0),"—",ROUND(N148/L148*100,1))</f>
      </c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11">
        <f>IF(C149="","",C149+D149)</f>
      </c>
      <c r="K149" s="11">
        <f>IF(E149="","",E149+F149)</f>
      </c>
      <c r="L149" s="11">
        <f>IF(J149="","",J149-K149)</f>
      </c>
      <c r="M149" s="11">
        <f>IF(G149="","",G149-H149)</f>
      </c>
      <c r="N149" s="11">
        <f>IF(M149="","",M149-I149)</f>
      </c>
      <c r="O149" s="11">
        <f>IF(OR(L149="",L149&lt;=0),"자본잠식",ROUND(K149/L149*100,1))</f>
      </c>
      <c r="P149" s="11">
        <f>IF(OR(L149="",L149&lt;=0),"—",ROUND(N149/L149*100,1))</f>
      </c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11">
        <f>IF(C150="","",C150+D150)</f>
      </c>
      <c r="K150" s="11">
        <f>IF(E150="","",E150+F150)</f>
      </c>
      <c r="L150" s="11">
        <f>IF(J150="","",J150-K150)</f>
      </c>
      <c r="M150" s="11">
        <f>IF(G150="","",G150-H150)</f>
      </c>
      <c r="N150" s="11">
        <f>IF(M150="","",M150-I150)</f>
      </c>
      <c r="O150" s="11">
        <f>IF(OR(L150="",L150&lt;=0),"자본잠식",ROUND(K150/L150*100,1))</f>
      </c>
      <c r="P150" s="11">
        <f>IF(OR(L150="",L150&lt;=0),"—",ROUND(N150/L150*100,1))</f>
      </c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11">
        <f>IF(C151="","",C151+D151)</f>
      </c>
      <c r="K151" s="11">
        <f>IF(E151="","",E151+F151)</f>
      </c>
      <c r="L151" s="11">
        <f>IF(J151="","",J151-K151)</f>
      </c>
      <c r="M151" s="11">
        <f>IF(G151="","",G151-H151)</f>
      </c>
      <c r="N151" s="11">
        <f>IF(M151="","",M151-I151)</f>
      </c>
      <c r="O151" s="11">
        <f>IF(OR(L151="",L151&lt;=0),"자본잠식",ROUND(K151/L151*100,1))</f>
      </c>
      <c r="P151" s="11">
        <f>IF(OR(L151="",L151&lt;=0),"—",ROUND(N151/L151*100,1))</f>
      </c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11">
        <f>IF(C152="","",C152+D152)</f>
      </c>
      <c r="K152" s="11">
        <f>IF(E152="","",E152+F152)</f>
      </c>
      <c r="L152" s="11">
        <f>IF(J152="","",J152-K152)</f>
      </c>
      <c r="M152" s="11">
        <f>IF(G152="","",G152-H152)</f>
      </c>
      <c r="N152" s="11">
        <f>IF(M152="","",M152-I152)</f>
      </c>
      <c r="O152" s="11">
        <f>IF(OR(L152="",L152&lt;=0),"자본잠식",ROUND(K152/L152*100,1))</f>
      </c>
      <c r="P152" s="11">
        <f>IF(OR(L152="",L152&lt;=0),"—",ROUND(N152/L152*100,1))</f>
      </c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11">
        <f>IF(C153="","",C153+D153)</f>
      </c>
      <c r="K153" s="11">
        <f>IF(E153="","",E153+F153)</f>
      </c>
      <c r="L153" s="11">
        <f>IF(J153="","",J153-K153)</f>
      </c>
      <c r="M153" s="11">
        <f>IF(G153="","",G153-H153)</f>
      </c>
      <c r="N153" s="11">
        <f>IF(M153="","",M153-I153)</f>
      </c>
      <c r="O153" s="11">
        <f>IF(OR(L153="",L153&lt;=0),"자본잠식",ROUND(K153/L153*100,1))</f>
      </c>
      <c r="P153" s="11">
        <f>IF(OR(L153="",L153&lt;=0),"—",ROUND(N153/L153*100,1))</f>
      </c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11">
        <f>IF(C154="","",C154+D154)</f>
      </c>
      <c r="K154" s="11">
        <f>IF(E154="","",E154+F154)</f>
      </c>
      <c r="L154" s="11">
        <f>IF(J154="","",J154-K154)</f>
      </c>
      <c r="M154" s="11">
        <f>IF(G154="","",G154-H154)</f>
      </c>
      <c r="N154" s="11">
        <f>IF(M154="","",M154-I154)</f>
      </c>
      <c r="O154" s="11">
        <f>IF(OR(L154="",L154&lt;=0),"자본잠식",ROUND(K154/L154*100,1))</f>
      </c>
      <c r="P154" s="11">
        <f>IF(OR(L154="",L154&lt;=0),"—",ROUND(N154/L154*100,1))</f>
      </c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11">
        <f>IF(C155="","",C155+D155)</f>
      </c>
      <c r="K155" s="11">
        <f>IF(E155="","",E155+F155)</f>
      </c>
      <c r="L155" s="11">
        <f>IF(J155="","",J155-K155)</f>
      </c>
      <c r="M155" s="11">
        <f>IF(G155="","",G155-H155)</f>
      </c>
      <c r="N155" s="11">
        <f>IF(M155="","",M155-I155)</f>
      </c>
      <c r="O155" s="11">
        <f>IF(OR(L155="",L155&lt;=0),"자본잠식",ROUND(K155/L155*100,1))</f>
      </c>
      <c r="P155" s="11">
        <f>IF(OR(L155="",L155&lt;=0),"—",ROUND(N155/L155*100,1))</f>
      </c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11">
        <f>IF(C156="","",C156+D156)</f>
      </c>
      <c r="K156" s="11">
        <f>IF(E156="","",E156+F156)</f>
      </c>
      <c r="L156" s="11">
        <f>IF(J156="","",J156-K156)</f>
      </c>
      <c r="M156" s="11">
        <f>IF(G156="","",G156-H156)</f>
      </c>
      <c r="N156" s="11">
        <f>IF(M156="","",M156-I156)</f>
      </c>
      <c r="O156" s="11">
        <f>IF(OR(L156="",L156&lt;=0),"자본잠식",ROUND(K156/L156*100,1))</f>
      </c>
      <c r="P156" s="11">
        <f>IF(OR(L156="",L156&lt;=0),"—",ROUND(N156/L156*100,1))</f>
      </c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11">
        <f>IF(C157="","",C157+D157)</f>
      </c>
      <c r="K157" s="11">
        <f>IF(E157="","",E157+F157)</f>
      </c>
      <c r="L157" s="11">
        <f>IF(J157="","",J157-K157)</f>
      </c>
      <c r="M157" s="11">
        <f>IF(G157="","",G157-H157)</f>
      </c>
      <c r="N157" s="11">
        <f>IF(M157="","",M157-I157)</f>
      </c>
      <c r="O157" s="11">
        <f>IF(OR(L157="",L157&lt;=0),"자본잠식",ROUND(K157/L157*100,1))</f>
      </c>
      <c r="P157" s="11">
        <f>IF(OR(L157="",L157&lt;=0),"—",ROUND(N157/L157*100,1))</f>
      </c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11">
        <f>IF(C158="","",C158+D158)</f>
      </c>
      <c r="K158" s="11">
        <f>IF(E158="","",E158+F158)</f>
      </c>
      <c r="L158" s="11">
        <f>IF(J158="","",J158-K158)</f>
      </c>
      <c r="M158" s="11">
        <f>IF(G158="","",G158-H158)</f>
      </c>
      <c r="N158" s="11">
        <f>IF(M158="","",M158-I158)</f>
      </c>
      <c r="O158" s="11">
        <f>IF(OR(L158="",L158&lt;=0),"자본잠식",ROUND(K158/L158*100,1))</f>
      </c>
      <c r="P158" s="11">
        <f>IF(OR(L158="",L158&lt;=0),"—",ROUND(N158/L158*100,1))</f>
      </c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11">
        <f>IF(C159="","",C159+D159)</f>
      </c>
      <c r="K159" s="11">
        <f>IF(E159="","",E159+F159)</f>
      </c>
      <c r="L159" s="11">
        <f>IF(J159="","",J159-K159)</f>
      </c>
      <c r="M159" s="11">
        <f>IF(G159="","",G159-H159)</f>
      </c>
      <c r="N159" s="11">
        <f>IF(M159="","",M159-I159)</f>
      </c>
      <c r="O159" s="11">
        <f>IF(OR(L159="",L159&lt;=0),"자본잠식",ROUND(K159/L159*100,1))</f>
      </c>
      <c r="P159" s="11">
        <f>IF(OR(L159="",L159&lt;=0),"—",ROUND(N159/L159*100,1))</f>
      </c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11">
        <f>IF(C160="","",C160+D160)</f>
      </c>
      <c r="K160" s="11">
        <f>IF(E160="","",E160+F160)</f>
      </c>
      <c r="L160" s="11">
        <f>IF(J160="","",J160-K160)</f>
      </c>
      <c r="M160" s="11">
        <f>IF(G160="","",G160-H160)</f>
      </c>
      <c r="N160" s="11">
        <f>IF(M160="","",M160-I160)</f>
      </c>
      <c r="O160" s="11">
        <f>IF(OR(L160="",L160&lt;=0),"자본잠식",ROUND(K160/L160*100,1))</f>
      </c>
      <c r="P160" s="11">
        <f>IF(OR(L160="",L160&lt;=0),"—",ROUND(N160/L160*100,1))</f>
      </c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11">
        <f>IF(C161="","",C161+D161)</f>
      </c>
      <c r="K161" s="11">
        <f>IF(E161="","",E161+F161)</f>
      </c>
      <c r="L161" s="11">
        <f>IF(J161="","",J161-K161)</f>
      </c>
      <c r="M161" s="11">
        <f>IF(G161="","",G161-H161)</f>
      </c>
      <c r="N161" s="11">
        <f>IF(M161="","",M161-I161)</f>
      </c>
      <c r="O161" s="11">
        <f>IF(OR(L161="",L161&lt;=0),"자본잠식",ROUND(K161/L161*100,1))</f>
      </c>
      <c r="P161" s="11">
        <f>IF(OR(L161="",L161&lt;=0),"—",ROUND(N161/L161*100,1))</f>
      </c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11">
        <f>IF(C162="","",C162+D162)</f>
      </c>
      <c r="K162" s="11">
        <f>IF(E162="","",E162+F162)</f>
      </c>
      <c r="L162" s="11">
        <f>IF(J162="","",J162-K162)</f>
      </c>
      <c r="M162" s="11">
        <f>IF(G162="","",G162-H162)</f>
      </c>
      <c r="N162" s="11">
        <f>IF(M162="","",M162-I162)</f>
      </c>
      <c r="O162" s="11">
        <f>IF(OR(L162="",L162&lt;=0),"자본잠식",ROUND(K162/L162*100,1))</f>
      </c>
      <c r="P162" s="11">
        <f>IF(OR(L162="",L162&lt;=0),"—",ROUND(N162/L162*100,1))</f>
      </c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11">
        <f>IF(C163="","",C163+D163)</f>
      </c>
      <c r="K163" s="11">
        <f>IF(E163="","",E163+F163)</f>
      </c>
      <c r="L163" s="11">
        <f>IF(J163="","",J163-K163)</f>
      </c>
      <c r="M163" s="11">
        <f>IF(G163="","",G163-H163)</f>
      </c>
      <c r="N163" s="11">
        <f>IF(M163="","",M163-I163)</f>
      </c>
      <c r="O163" s="11">
        <f>IF(OR(L163="",L163&lt;=0),"자본잠식",ROUND(K163/L163*100,1))</f>
      </c>
      <c r="P163" s="11">
        <f>IF(OR(L163="",L163&lt;=0),"—",ROUND(N163/L163*100,1))</f>
      </c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11">
        <f>IF(C164="","",C164+D164)</f>
      </c>
      <c r="K164" s="11">
        <f>IF(E164="","",E164+F164)</f>
      </c>
      <c r="L164" s="11">
        <f>IF(J164="","",J164-K164)</f>
      </c>
      <c r="M164" s="11">
        <f>IF(G164="","",G164-H164)</f>
      </c>
      <c r="N164" s="11">
        <f>IF(M164="","",M164-I164)</f>
      </c>
      <c r="O164" s="11">
        <f>IF(OR(L164="",L164&lt;=0),"자본잠식",ROUND(K164/L164*100,1))</f>
      </c>
      <c r="P164" s="11">
        <f>IF(OR(L164="",L164&lt;=0),"—",ROUND(N164/L164*100,1))</f>
      </c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11">
        <f>IF(C165="","",C165+D165)</f>
      </c>
      <c r="K165" s="11">
        <f>IF(E165="","",E165+F165)</f>
      </c>
      <c r="L165" s="11">
        <f>IF(J165="","",J165-K165)</f>
      </c>
      <c r="M165" s="11">
        <f>IF(G165="","",G165-H165)</f>
      </c>
      <c r="N165" s="11">
        <f>IF(M165="","",M165-I165)</f>
      </c>
      <c r="O165" s="11">
        <f>IF(OR(L165="",L165&lt;=0),"자본잠식",ROUND(K165/L165*100,1))</f>
      </c>
      <c r="P165" s="11">
        <f>IF(OR(L165="",L165&lt;=0),"—",ROUND(N165/L165*100,1))</f>
      </c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11">
        <f>IF(C166="","",C166+D166)</f>
      </c>
      <c r="K166" s="11">
        <f>IF(E166="","",E166+F166)</f>
      </c>
      <c r="L166" s="11">
        <f>IF(J166="","",J166-K166)</f>
      </c>
      <c r="M166" s="11">
        <f>IF(G166="","",G166-H166)</f>
      </c>
      <c r="N166" s="11">
        <f>IF(M166="","",M166-I166)</f>
      </c>
      <c r="O166" s="11">
        <f>IF(OR(L166="",L166&lt;=0),"자본잠식",ROUND(K166/L166*100,1))</f>
      </c>
      <c r="P166" s="11">
        <f>IF(OR(L166="",L166&lt;=0),"—",ROUND(N166/L166*100,1))</f>
      </c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11">
        <f>IF(C167="","",C167+D167)</f>
      </c>
      <c r="K167" s="11">
        <f>IF(E167="","",E167+F167)</f>
      </c>
      <c r="L167" s="11">
        <f>IF(J167="","",J167-K167)</f>
      </c>
      <c r="M167" s="11">
        <f>IF(G167="","",G167-H167)</f>
      </c>
      <c r="N167" s="11">
        <f>IF(M167="","",M167-I167)</f>
      </c>
      <c r="O167" s="11">
        <f>IF(OR(L167="",L167&lt;=0),"자본잠식",ROUND(K167/L167*100,1))</f>
      </c>
      <c r="P167" s="11">
        <f>IF(OR(L167="",L167&lt;=0),"—",ROUND(N167/L167*100,1))</f>
      </c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11">
        <f>IF(C168="","",C168+D168)</f>
      </c>
      <c r="K168" s="11">
        <f>IF(E168="","",E168+F168)</f>
      </c>
      <c r="L168" s="11">
        <f>IF(J168="","",J168-K168)</f>
      </c>
      <c r="M168" s="11">
        <f>IF(G168="","",G168-H168)</f>
      </c>
      <c r="N168" s="11">
        <f>IF(M168="","",M168-I168)</f>
      </c>
      <c r="O168" s="11">
        <f>IF(OR(L168="",L168&lt;=0),"자본잠식",ROUND(K168/L168*100,1))</f>
      </c>
      <c r="P168" s="11">
        <f>IF(OR(L168="",L168&lt;=0),"—",ROUND(N168/L168*100,1))</f>
      </c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11">
        <f>IF(C169="","",C169+D169)</f>
      </c>
      <c r="K169" s="11">
        <f>IF(E169="","",E169+F169)</f>
      </c>
      <c r="L169" s="11">
        <f>IF(J169="","",J169-K169)</f>
      </c>
      <c r="M169" s="11">
        <f>IF(G169="","",G169-H169)</f>
      </c>
      <c r="N169" s="11">
        <f>IF(M169="","",M169-I169)</f>
      </c>
      <c r="O169" s="11">
        <f>IF(OR(L169="",L169&lt;=0),"자본잠식",ROUND(K169/L169*100,1))</f>
      </c>
      <c r="P169" s="11">
        <f>IF(OR(L169="",L169&lt;=0),"—",ROUND(N169/L169*100,1))</f>
      </c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11">
        <f>IF(C170="","",C170+D170)</f>
      </c>
      <c r="K170" s="11">
        <f>IF(E170="","",E170+F170)</f>
      </c>
      <c r="L170" s="11">
        <f>IF(J170="","",J170-K170)</f>
      </c>
      <c r="M170" s="11">
        <f>IF(G170="","",G170-H170)</f>
      </c>
      <c r="N170" s="11">
        <f>IF(M170="","",M170-I170)</f>
      </c>
      <c r="O170" s="11">
        <f>IF(OR(L170="",L170&lt;=0),"자본잠식",ROUND(K170/L170*100,1))</f>
      </c>
      <c r="P170" s="11">
        <f>IF(OR(L170="",L170&lt;=0),"—",ROUND(N170/L170*100,1))</f>
      </c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11">
        <f>IF(C171="","",C171+D171)</f>
      </c>
      <c r="K171" s="11">
        <f>IF(E171="","",E171+F171)</f>
      </c>
      <c r="L171" s="11">
        <f>IF(J171="","",J171-K171)</f>
      </c>
      <c r="M171" s="11">
        <f>IF(G171="","",G171-H171)</f>
      </c>
      <c r="N171" s="11">
        <f>IF(M171="","",M171-I171)</f>
      </c>
      <c r="O171" s="11">
        <f>IF(OR(L171="",L171&lt;=0),"자본잠식",ROUND(K171/L171*100,1))</f>
      </c>
      <c r="P171" s="11">
        <f>IF(OR(L171="",L171&lt;=0),"—",ROUND(N171/L171*100,1))</f>
      </c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11">
        <f>IF(C172="","",C172+D172)</f>
      </c>
      <c r="K172" s="11">
        <f>IF(E172="","",E172+F172)</f>
      </c>
      <c r="L172" s="11">
        <f>IF(J172="","",J172-K172)</f>
      </c>
      <c r="M172" s="11">
        <f>IF(G172="","",G172-H172)</f>
      </c>
      <c r="N172" s="11">
        <f>IF(M172="","",M172-I172)</f>
      </c>
      <c r="O172" s="11">
        <f>IF(OR(L172="",L172&lt;=0),"자본잠식",ROUND(K172/L172*100,1))</f>
      </c>
      <c r="P172" s="11">
        <f>IF(OR(L172="",L172&lt;=0),"—",ROUND(N172/L172*100,1))</f>
      </c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11">
        <f>IF(C173="","",C173+D173)</f>
      </c>
      <c r="K173" s="11">
        <f>IF(E173="","",E173+F173)</f>
      </c>
      <c r="L173" s="11">
        <f>IF(J173="","",J173-K173)</f>
      </c>
      <c r="M173" s="11">
        <f>IF(G173="","",G173-H173)</f>
      </c>
      <c r="N173" s="11">
        <f>IF(M173="","",M173-I173)</f>
      </c>
      <c r="O173" s="11">
        <f>IF(OR(L173="",L173&lt;=0),"자본잠식",ROUND(K173/L173*100,1))</f>
      </c>
      <c r="P173" s="11">
        <f>IF(OR(L173="",L173&lt;=0),"—",ROUND(N173/L173*100,1))</f>
      </c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11">
        <f>IF(C174="","",C174+D174)</f>
      </c>
      <c r="K174" s="11">
        <f>IF(E174="","",E174+F174)</f>
      </c>
      <c r="L174" s="11">
        <f>IF(J174="","",J174-K174)</f>
      </c>
      <c r="M174" s="11">
        <f>IF(G174="","",G174-H174)</f>
      </c>
      <c r="N174" s="11">
        <f>IF(M174="","",M174-I174)</f>
      </c>
      <c r="O174" s="11">
        <f>IF(OR(L174="",L174&lt;=0),"자본잠식",ROUND(K174/L174*100,1))</f>
      </c>
      <c r="P174" s="11">
        <f>IF(OR(L174="",L174&lt;=0),"—",ROUND(N174/L174*100,1))</f>
      </c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11">
        <f>IF(C175="","",C175+D175)</f>
      </c>
      <c r="K175" s="11">
        <f>IF(E175="","",E175+F175)</f>
      </c>
      <c r="L175" s="11">
        <f>IF(J175="","",J175-K175)</f>
      </c>
      <c r="M175" s="11">
        <f>IF(G175="","",G175-H175)</f>
      </c>
      <c r="N175" s="11">
        <f>IF(M175="","",M175-I175)</f>
      </c>
      <c r="O175" s="11">
        <f>IF(OR(L175="",L175&lt;=0),"자본잠식",ROUND(K175/L175*100,1))</f>
      </c>
      <c r="P175" s="11">
        <f>IF(OR(L175="",L175&lt;=0),"—",ROUND(N175/L175*100,1))</f>
      </c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11">
        <f>IF(C176="","",C176+D176)</f>
      </c>
      <c r="K176" s="11">
        <f>IF(E176="","",E176+F176)</f>
      </c>
      <c r="L176" s="11">
        <f>IF(J176="","",J176-K176)</f>
      </c>
      <c r="M176" s="11">
        <f>IF(G176="","",G176-H176)</f>
      </c>
      <c r="N176" s="11">
        <f>IF(M176="","",M176-I176)</f>
      </c>
      <c r="O176" s="11">
        <f>IF(OR(L176="",L176&lt;=0),"자본잠식",ROUND(K176/L176*100,1))</f>
      </c>
      <c r="P176" s="11">
        <f>IF(OR(L176="",L176&lt;=0),"—",ROUND(N176/L176*100,1))</f>
      </c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11">
        <f>IF(C177="","",C177+D177)</f>
      </c>
      <c r="K177" s="11">
        <f>IF(E177="","",E177+F177)</f>
      </c>
      <c r="L177" s="11">
        <f>IF(J177="","",J177-K177)</f>
      </c>
      <c r="M177" s="11">
        <f>IF(G177="","",G177-H177)</f>
      </c>
      <c r="N177" s="11">
        <f>IF(M177="","",M177-I177)</f>
      </c>
      <c r="O177" s="11">
        <f>IF(OR(L177="",L177&lt;=0),"자본잠식",ROUND(K177/L177*100,1))</f>
      </c>
      <c r="P177" s="11">
        <f>IF(OR(L177="",L177&lt;=0),"—",ROUND(N177/L177*100,1))</f>
      </c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11">
        <f>IF(C178="","",C178+D178)</f>
      </c>
      <c r="K178" s="11">
        <f>IF(E178="","",E178+F178)</f>
      </c>
      <c r="L178" s="11">
        <f>IF(J178="","",J178-K178)</f>
      </c>
      <c r="M178" s="11">
        <f>IF(G178="","",G178-H178)</f>
      </c>
      <c r="N178" s="11">
        <f>IF(M178="","",M178-I178)</f>
      </c>
      <c r="O178" s="11">
        <f>IF(OR(L178="",L178&lt;=0),"자본잠식",ROUND(K178/L178*100,1))</f>
      </c>
      <c r="P178" s="11">
        <f>IF(OR(L178="",L178&lt;=0),"—",ROUND(N178/L178*100,1))</f>
      </c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11">
        <f>IF(C179="","",C179+D179)</f>
      </c>
      <c r="K179" s="11">
        <f>IF(E179="","",E179+F179)</f>
      </c>
      <c r="L179" s="11">
        <f>IF(J179="","",J179-K179)</f>
      </c>
      <c r="M179" s="11">
        <f>IF(G179="","",G179-H179)</f>
      </c>
      <c r="N179" s="11">
        <f>IF(M179="","",M179-I179)</f>
      </c>
      <c r="O179" s="11">
        <f>IF(OR(L179="",L179&lt;=0),"자본잠식",ROUND(K179/L179*100,1))</f>
      </c>
      <c r="P179" s="11">
        <f>IF(OR(L179="",L179&lt;=0),"—",ROUND(N179/L179*100,1))</f>
      </c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11">
        <f>IF(C180="","",C180+D180)</f>
      </c>
      <c r="K180" s="11">
        <f>IF(E180="","",E180+F180)</f>
      </c>
      <c r="L180" s="11">
        <f>IF(J180="","",J180-K180)</f>
      </c>
      <c r="M180" s="11">
        <f>IF(G180="","",G180-H180)</f>
      </c>
      <c r="N180" s="11">
        <f>IF(M180="","",M180-I180)</f>
      </c>
      <c r="O180" s="11">
        <f>IF(OR(L180="",L180&lt;=0),"자본잠식",ROUND(K180/L180*100,1))</f>
      </c>
      <c r="P180" s="11">
        <f>IF(OR(L180="",L180&lt;=0),"—",ROUND(N180/L180*100,1))</f>
      </c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11">
        <f>IF(C181="","",C181+D181)</f>
      </c>
      <c r="K181" s="11">
        <f>IF(E181="","",E181+F181)</f>
      </c>
      <c r="L181" s="11">
        <f>IF(J181="","",J181-K181)</f>
      </c>
      <c r="M181" s="11">
        <f>IF(G181="","",G181-H181)</f>
      </c>
      <c r="N181" s="11">
        <f>IF(M181="","",M181-I181)</f>
      </c>
      <c r="O181" s="11">
        <f>IF(OR(L181="",L181&lt;=0),"자본잠식",ROUND(K181/L181*100,1))</f>
      </c>
      <c r="P181" s="11">
        <f>IF(OR(L181="",L181&lt;=0),"—",ROUND(N181/L181*100,1))</f>
      </c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11">
        <f>IF(C182="","",C182+D182)</f>
      </c>
      <c r="K182" s="11">
        <f>IF(E182="","",E182+F182)</f>
      </c>
      <c r="L182" s="11">
        <f>IF(J182="","",J182-K182)</f>
      </c>
      <c r="M182" s="11">
        <f>IF(G182="","",G182-H182)</f>
      </c>
      <c r="N182" s="11">
        <f>IF(M182="","",M182-I182)</f>
      </c>
      <c r="O182" s="11">
        <f>IF(OR(L182="",L182&lt;=0),"자본잠식",ROUND(K182/L182*100,1))</f>
      </c>
      <c r="P182" s="11">
        <f>IF(OR(L182="",L182&lt;=0),"—",ROUND(N182/L182*100,1))</f>
      </c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11">
        <f>IF(C183="","",C183+D183)</f>
      </c>
      <c r="K183" s="11">
        <f>IF(E183="","",E183+F183)</f>
      </c>
      <c r="L183" s="11">
        <f>IF(J183="","",J183-K183)</f>
      </c>
      <c r="M183" s="11">
        <f>IF(G183="","",G183-H183)</f>
      </c>
      <c r="N183" s="11">
        <f>IF(M183="","",M183-I183)</f>
      </c>
      <c r="O183" s="11">
        <f>IF(OR(L183="",L183&lt;=0),"자본잠식",ROUND(K183/L183*100,1))</f>
      </c>
      <c r="P183" s="11">
        <f>IF(OR(L183="",L183&lt;=0),"—",ROUND(N183/L183*100,1))</f>
      </c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11">
        <f>IF(C184="","",C184+D184)</f>
      </c>
      <c r="K184" s="11">
        <f>IF(E184="","",E184+F184)</f>
      </c>
      <c r="L184" s="11">
        <f>IF(J184="","",J184-K184)</f>
      </c>
      <c r="M184" s="11">
        <f>IF(G184="","",G184-H184)</f>
      </c>
      <c r="N184" s="11">
        <f>IF(M184="","",M184-I184)</f>
      </c>
      <c r="O184" s="11">
        <f>IF(OR(L184="",L184&lt;=0),"자본잠식",ROUND(K184/L184*100,1))</f>
      </c>
      <c r="P184" s="11">
        <f>IF(OR(L184="",L184&lt;=0),"—",ROUND(N184/L184*100,1))</f>
      </c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11">
        <f>IF(C185="","",C185+D185)</f>
      </c>
      <c r="K185" s="11">
        <f>IF(E185="","",E185+F185)</f>
      </c>
      <c r="L185" s="11">
        <f>IF(J185="","",J185-K185)</f>
      </c>
      <c r="M185" s="11">
        <f>IF(G185="","",G185-H185)</f>
      </c>
      <c r="N185" s="11">
        <f>IF(M185="","",M185-I185)</f>
      </c>
      <c r="O185" s="11">
        <f>IF(OR(L185="",L185&lt;=0),"자본잠식",ROUND(K185/L185*100,1))</f>
      </c>
      <c r="P185" s="11">
        <f>IF(OR(L185="",L185&lt;=0),"—",ROUND(N185/L185*100,1))</f>
      </c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11">
        <f>IF(C186="","",C186+D186)</f>
      </c>
      <c r="K186" s="11">
        <f>IF(E186="","",E186+F186)</f>
      </c>
      <c r="L186" s="11">
        <f>IF(J186="","",J186-K186)</f>
      </c>
      <c r="M186" s="11">
        <f>IF(G186="","",G186-H186)</f>
      </c>
      <c r="N186" s="11">
        <f>IF(M186="","",M186-I186)</f>
      </c>
      <c r="O186" s="11">
        <f>IF(OR(L186="",L186&lt;=0),"자본잠식",ROUND(K186/L186*100,1))</f>
      </c>
      <c r="P186" s="11">
        <f>IF(OR(L186="",L186&lt;=0),"—",ROUND(N186/L186*100,1))</f>
      </c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11">
        <f>IF(C187="","",C187+D187)</f>
      </c>
      <c r="K187" s="11">
        <f>IF(E187="","",E187+F187)</f>
      </c>
      <c r="L187" s="11">
        <f>IF(J187="","",J187-K187)</f>
      </c>
      <c r="M187" s="11">
        <f>IF(G187="","",G187-H187)</f>
      </c>
      <c r="N187" s="11">
        <f>IF(M187="","",M187-I187)</f>
      </c>
      <c r="O187" s="11">
        <f>IF(OR(L187="",L187&lt;=0),"자본잠식",ROUND(K187/L187*100,1))</f>
      </c>
      <c r="P187" s="11">
        <f>IF(OR(L187="",L187&lt;=0),"—",ROUND(N187/L187*100,1))</f>
      </c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11">
        <f>IF(C188="","",C188+D188)</f>
      </c>
      <c r="K188" s="11">
        <f>IF(E188="","",E188+F188)</f>
      </c>
      <c r="L188" s="11">
        <f>IF(J188="","",J188-K188)</f>
      </c>
      <c r="M188" s="11">
        <f>IF(G188="","",G188-H188)</f>
      </c>
      <c r="N188" s="11">
        <f>IF(M188="","",M188-I188)</f>
      </c>
      <c r="O188" s="11">
        <f>IF(OR(L188="",L188&lt;=0),"자본잠식",ROUND(K188/L188*100,1))</f>
      </c>
      <c r="P188" s="11">
        <f>IF(OR(L188="",L188&lt;=0),"—",ROUND(N188/L188*100,1))</f>
      </c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11">
        <f>IF(C189="","",C189+D189)</f>
      </c>
      <c r="K189" s="11">
        <f>IF(E189="","",E189+F189)</f>
      </c>
      <c r="L189" s="11">
        <f>IF(J189="","",J189-K189)</f>
      </c>
      <c r="M189" s="11">
        <f>IF(G189="","",G189-H189)</f>
      </c>
      <c r="N189" s="11">
        <f>IF(M189="","",M189-I189)</f>
      </c>
      <c r="O189" s="11">
        <f>IF(OR(L189="",L189&lt;=0),"자본잠식",ROUND(K189/L189*100,1))</f>
      </c>
      <c r="P189" s="11">
        <f>IF(OR(L189="",L189&lt;=0),"—",ROUND(N189/L189*100,1))</f>
      </c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11">
        <f>IF(C190="","",C190+D190)</f>
      </c>
      <c r="K190" s="11">
        <f>IF(E190="","",E190+F190)</f>
      </c>
      <c r="L190" s="11">
        <f>IF(J190="","",J190-K190)</f>
      </c>
      <c r="M190" s="11">
        <f>IF(G190="","",G190-H190)</f>
      </c>
      <c r="N190" s="11">
        <f>IF(M190="","",M190-I190)</f>
      </c>
      <c r="O190" s="11">
        <f>IF(OR(L190="",L190&lt;=0),"자본잠식",ROUND(K190/L190*100,1))</f>
      </c>
      <c r="P190" s="11">
        <f>IF(OR(L190="",L190&lt;=0),"—",ROUND(N190/L190*100,1))</f>
      </c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11">
        <f>IF(C191="","",C191+D191)</f>
      </c>
      <c r="K191" s="11">
        <f>IF(E191="","",E191+F191)</f>
      </c>
      <c r="L191" s="11">
        <f>IF(J191="","",J191-K191)</f>
      </c>
      <c r="M191" s="11">
        <f>IF(G191="","",G191-H191)</f>
      </c>
      <c r="N191" s="11">
        <f>IF(M191="","",M191-I191)</f>
      </c>
      <c r="O191" s="11">
        <f>IF(OR(L191="",L191&lt;=0),"자본잠식",ROUND(K191/L191*100,1))</f>
      </c>
      <c r="P191" s="11">
        <f>IF(OR(L191="",L191&lt;=0),"—",ROUND(N191/L191*100,1))</f>
      </c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11">
        <f>IF(C192="","",C192+D192)</f>
      </c>
      <c r="K192" s="11">
        <f>IF(E192="","",E192+F192)</f>
      </c>
      <c r="L192" s="11">
        <f>IF(J192="","",J192-K192)</f>
      </c>
      <c r="M192" s="11">
        <f>IF(G192="","",G192-H192)</f>
      </c>
      <c r="N192" s="11">
        <f>IF(M192="","",M192-I192)</f>
      </c>
      <c r="O192" s="11">
        <f>IF(OR(L192="",L192&lt;=0),"자본잠식",ROUND(K192/L192*100,1))</f>
      </c>
      <c r="P192" s="11">
        <f>IF(OR(L192="",L192&lt;=0),"—",ROUND(N192/L192*100,1))</f>
      </c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11">
        <f>IF(C193="","",C193+D193)</f>
      </c>
      <c r="K193" s="11">
        <f>IF(E193="","",E193+F193)</f>
      </c>
      <c r="L193" s="11">
        <f>IF(J193="","",J193-K193)</f>
      </c>
      <c r="M193" s="11">
        <f>IF(G193="","",G193-H193)</f>
      </c>
      <c r="N193" s="11">
        <f>IF(M193="","",M193-I193)</f>
      </c>
      <c r="O193" s="11">
        <f>IF(OR(L193="",L193&lt;=0),"자본잠식",ROUND(K193/L193*100,1))</f>
      </c>
      <c r="P193" s="11">
        <f>IF(OR(L193="",L193&lt;=0),"—",ROUND(N193/L193*100,1))</f>
      </c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11">
        <f>IF(C194="","",C194+D194)</f>
      </c>
      <c r="K194" s="11">
        <f>IF(E194="","",E194+F194)</f>
      </c>
      <c r="L194" s="11">
        <f>IF(J194="","",J194-K194)</f>
      </c>
      <c r="M194" s="11">
        <f>IF(G194="","",G194-H194)</f>
      </c>
      <c r="N194" s="11">
        <f>IF(M194="","",M194-I194)</f>
      </c>
      <c r="O194" s="11">
        <f>IF(OR(L194="",L194&lt;=0),"자본잠식",ROUND(K194/L194*100,1))</f>
      </c>
      <c r="P194" s="11">
        <f>IF(OR(L194="",L194&lt;=0),"—",ROUND(N194/L194*100,1))</f>
      </c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11">
        <f>IF(C195="","",C195+D195)</f>
      </c>
      <c r="K195" s="11">
        <f>IF(E195="","",E195+F195)</f>
      </c>
      <c r="L195" s="11">
        <f>IF(J195="","",J195-K195)</f>
      </c>
      <c r="M195" s="11">
        <f>IF(G195="","",G195-H195)</f>
      </c>
      <c r="N195" s="11">
        <f>IF(M195="","",M195-I195)</f>
      </c>
      <c r="O195" s="11">
        <f>IF(OR(L195="",L195&lt;=0),"자본잠식",ROUND(K195/L195*100,1))</f>
      </c>
      <c r="P195" s="11">
        <f>IF(OR(L195="",L195&lt;=0),"—",ROUND(N195/L195*100,1))</f>
      </c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11">
        <f>IF(C196="","",C196+D196)</f>
      </c>
      <c r="K196" s="11">
        <f>IF(E196="","",E196+F196)</f>
      </c>
      <c r="L196" s="11">
        <f>IF(J196="","",J196-K196)</f>
      </c>
      <c r="M196" s="11">
        <f>IF(G196="","",G196-H196)</f>
      </c>
      <c r="N196" s="11">
        <f>IF(M196="","",M196-I196)</f>
      </c>
      <c r="O196" s="11">
        <f>IF(OR(L196="",L196&lt;=0),"자본잠식",ROUND(K196/L196*100,1))</f>
      </c>
      <c r="P196" s="11">
        <f>IF(OR(L196="",L196&lt;=0),"—",ROUND(N196/L196*100,1))</f>
      </c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11">
        <f>IF(C197="","",C197+D197)</f>
      </c>
      <c r="K197" s="11">
        <f>IF(E197="","",E197+F197)</f>
      </c>
      <c r="L197" s="11">
        <f>IF(J197="","",J197-K197)</f>
      </c>
      <c r="M197" s="11">
        <f>IF(G197="","",G197-H197)</f>
      </c>
      <c r="N197" s="11">
        <f>IF(M197="","",M197-I197)</f>
      </c>
      <c r="O197" s="11">
        <f>IF(OR(L197="",L197&lt;=0),"자본잠식",ROUND(K197/L197*100,1))</f>
      </c>
      <c r="P197" s="11">
        <f>IF(OR(L197="",L197&lt;=0),"—",ROUND(N197/L197*100,1))</f>
      </c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11">
        <f>IF(C198="","",C198+D198)</f>
      </c>
      <c r="K198" s="11">
        <f>IF(E198="","",E198+F198)</f>
      </c>
      <c r="L198" s="11">
        <f>IF(J198="","",J198-K198)</f>
      </c>
      <c r="M198" s="11">
        <f>IF(G198="","",G198-H198)</f>
      </c>
      <c r="N198" s="11">
        <f>IF(M198="","",M198-I198)</f>
      </c>
      <c r="O198" s="11">
        <f>IF(OR(L198="",L198&lt;=0),"자본잠식",ROUND(K198/L198*100,1))</f>
      </c>
      <c r="P198" s="11">
        <f>IF(OR(L198="",L198&lt;=0),"—",ROUND(N198/L198*100,1))</f>
      </c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11">
        <f>IF(C199="","",C199+D199)</f>
      </c>
      <c r="K199" s="11">
        <f>IF(E199="","",E199+F199)</f>
      </c>
      <c r="L199" s="11">
        <f>IF(J199="","",J199-K199)</f>
      </c>
      <c r="M199" s="11">
        <f>IF(G199="","",G199-H199)</f>
      </c>
      <c r="N199" s="11">
        <f>IF(M199="","",M199-I199)</f>
      </c>
      <c r="O199" s="11">
        <f>IF(OR(L199="",L199&lt;=0),"자본잠식",ROUND(K199/L199*100,1))</f>
      </c>
      <c r="P199" s="11">
        <f>IF(OR(L199="",L199&lt;=0),"—",ROUND(N199/L199*100,1))</f>
      </c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11">
        <f>IF(C200="","",C200+D200)</f>
      </c>
      <c r="K200" s="11">
        <f>IF(E200="","",E200+F200)</f>
      </c>
      <c r="L200" s="11">
        <f>IF(J200="","",J200-K200)</f>
      </c>
      <c r="M200" s="11">
        <f>IF(G200="","",G200-H200)</f>
      </c>
      <c r="N200" s="11">
        <f>IF(M200="","",M200-I200)</f>
      </c>
      <c r="O200" s="11">
        <f>IF(OR(L200="",L200&lt;=0),"자본잠식",ROUND(K200/L200*100,1))</f>
      </c>
      <c r="P200" s="11">
        <f>IF(OR(L200="",L200&lt;=0),"—",ROUND(N200/L200*100,1))</f>
      </c>
    </row>
  </sheetData>
  <dataValidations count="1">
    <dataValidation type="list" allowBlank="1" showInputMessage="1" showErrorMessage="1" errorTitle="종목ID 확인" error="종목 시트에 적은 ID 중에서 고르세요." sqref="A5:A200">
      <formula1>종목!$A$5:$A$50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75" customWidth="1" min="3" max="3"/>
    <col width="19" customWidth="1" min="4" max="4"/>
    <col width="18" customWidth="1" min="5" max="5"/>
  </cols>
  <sheetData>
    <row r="1">
      <c r="A1" s="1" t="inlineStr">
        <is>
          <t>④ 힌트 (라운드 × 등급)</t>
        </is>
      </c>
    </row>
    <row r="2">
      <c r="A2" s="5" t="inlineStr">
        <is>
          <t>★ R2 힌트 = "R2 연도→다음 연도" 변동 예고. R1은 지급 없음(작성 불필요). 방향(up=호재/down=악재/flat=중립)·관련 종목ID(쉼표 구분, 예: S04,S02)는 선택이지만 채우면 자동 검증·종목 링크가 작동해요. 학생에겐 방향이 안 보여요.</t>
        </is>
      </c>
    </row>
    <row r="4">
      <c r="A4" s="6" t="inlineStr">
        <is>
          <t>라운드</t>
        </is>
      </c>
      <c r="B4" s="6" t="inlineStr">
        <is>
          <t>등급(S~D)</t>
        </is>
      </c>
      <c r="C4" s="6" t="inlineStr">
        <is>
          <t>힌트 문구</t>
        </is>
      </c>
      <c r="D4" s="8" t="inlineStr">
        <is>
          <t>방향(up/down/flat) (선택)</t>
        </is>
      </c>
      <c r="E4" s="8" t="inlineStr">
        <is>
          <t>관련 종목ID (선택)</t>
        </is>
      </c>
    </row>
    <row r="5">
      <c r="A5" s="7"/>
      <c r="B5" s="7"/>
      <c r="C5" s="7"/>
      <c r="D5" s="9"/>
      <c r="E5" s="9"/>
    </row>
    <row r="6">
      <c r="A6" s="7"/>
      <c r="B6" s="7"/>
      <c r="C6" s="7"/>
      <c r="D6" s="9"/>
      <c r="E6" s="9"/>
    </row>
    <row r="7">
      <c r="A7" s="7"/>
      <c r="B7" s="7"/>
      <c r="C7" s="7"/>
      <c r="D7" s="9"/>
      <c r="E7" s="9"/>
    </row>
    <row r="8">
      <c r="A8" s="7"/>
      <c r="B8" s="7"/>
      <c r="C8" s="7"/>
      <c r="D8" s="9"/>
      <c r="E8" s="9"/>
    </row>
    <row r="9">
      <c r="A9" s="7"/>
      <c r="B9" s="7"/>
      <c r="C9" s="7"/>
      <c r="D9" s="9"/>
      <c r="E9" s="9"/>
    </row>
    <row r="10">
      <c r="A10" s="7"/>
      <c r="B10" s="7"/>
      <c r="C10" s="7"/>
      <c r="D10" s="9"/>
      <c r="E10" s="9"/>
    </row>
    <row r="11">
      <c r="A11" s="7"/>
      <c r="B11" s="7"/>
      <c r="C11" s="7"/>
      <c r="D11" s="9"/>
      <c r="E11" s="9"/>
    </row>
    <row r="12">
      <c r="A12" s="7"/>
      <c r="B12" s="7"/>
      <c r="C12" s="7"/>
      <c r="D12" s="9"/>
      <c r="E12" s="9"/>
    </row>
    <row r="13">
      <c r="A13" s="7"/>
      <c r="B13" s="7"/>
      <c r="C13" s="7"/>
      <c r="D13" s="9"/>
      <c r="E13" s="9"/>
    </row>
    <row r="14">
      <c r="A14" s="7"/>
      <c r="B14" s="7"/>
      <c r="C14" s="7"/>
      <c r="D14" s="9"/>
      <c r="E14" s="9"/>
    </row>
    <row r="15">
      <c r="A15" s="7"/>
      <c r="B15" s="7"/>
      <c r="C15" s="7"/>
      <c r="D15" s="9"/>
      <c r="E15" s="9"/>
    </row>
    <row r="16">
      <c r="A16" s="7"/>
      <c r="B16" s="7"/>
      <c r="C16" s="7"/>
      <c r="D16" s="9"/>
      <c r="E16" s="9"/>
    </row>
    <row r="17">
      <c r="A17" s="7"/>
      <c r="B17" s="7"/>
      <c r="C17" s="7"/>
      <c r="D17" s="9"/>
      <c r="E17" s="9"/>
    </row>
    <row r="18">
      <c r="A18" s="7"/>
      <c r="B18" s="7"/>
      <c r="C18" s="7"/>
      <c r="D18" s="9"/>
      <c r="E18" s="9"/>
    </row>
    <row r="19">
      <c r="A19" s="7"/>
      <c r="B19" s="7"/>
      <c r="C19" s="7"/>
      <c r="D19" s="9"/>
      <c r="E19" s="9"/>
    </row>
    <row r="20">
      <c r="A20" s="7"/>
      <c r="B20" s="7"/>
      <c r="C20" s="7"/>
      <c r="D20" s="9"/>
      <c r="E20" s="9"/>
    </row>
    <row r="21">
      <c r="A21" s="7"/>
      <c r="B21" s="7"/>
      <c r="C21" s="7"/>
      <c r="D21" s="9"/>
      <c r="E21" s="9"/>
    </row>
    <row r="22">
      <c r="A22" s="7"/>
      <c r="B22" s="7"/>
      <c r="C22" s="7"/>
      <c r="D22" s="9"/>
      <c r="E22" s="9"/>
    </row>
    <row r="23">
      <c r="A23" s="7"/>
      <c r="B23" s="7"/>
      <c r="C23" s="7"/>
      <c r="D23" s="9"/>
      <c r="E23" s="9"/>
    </row>
    <row r="24">
      <c r="A24" s="7"/>
      <c r="B24" s="7"/>
      <c r="C24" s="7"/>
      <c r="D24" s="9"/>
      <c r="E24" s="9"/>
    </row>
    <row r="25">
      <c r="A25" s="7"/>
      <c r="B25" s="7"/>
      <c r="C25" s="7"/>
      <c r="D25" s="9"/>
      <c r="E25" s="9"/>
    </row>
    <row r="26">
      <c r="A26" s="7"/>
      <c r="B26" s="7"/>
      <c r="C26" s="7"/>
      <c r="D26" s="9"/>
      <c r="E26" s="9"/>
    </row>
    <row r="27">
      <c r="A27" s="7"/>
      <c r="B27" s="7"/>
      <c r="C27" s="7"/>
      <c r="D27" s="9"/>
      <c r="E27" s="9"/>
    </row>
    <row r="28">
      <c r="A28" s="7"/>
      <c r="B28" s="7"/>
      <c r="C28" s="7"/>
      <c r="D28" s="9"/>
      <c r="E28" s="9"/>
    </row>
    <row r="29">
      <c r="A29" s="7"/>
      <c r="B29" s="7"/>
      <c r="C29" s="7"/>
      <c r="D29" s="9"/>
      <c r="E29" s="9"/>
    </row>
    <row r="30">
      <c r="A30" s="7"/>
      <c r="B30" s="7"/>
      <c r="C30" s="7"/>
      <c r="D30" s="9"/>
      <c r="E30" s="9"/>
    </row>
    <row r="31">
      <c r="A31" s="7"/>
      <c r="B31" s="7"/>
      <c r="C31" s="7"/>
      <c r="D31" s="9"/>
      <c r="E31" s="9"/>
    </row>
    <row r="32">
      <c r="A32" s="7"/>
      <c r="B32" s="7"/>
      <c r="C32" s="7"/>
      <c r="D32" s="9"/>
      <c r="E32" s="9"/>
    </row>
    <row r="33">
      <c r="A33" s="7"/>
      <c r="B33" s="7"/>
      <c r="C33" s="7"/>
      <c r="D33" s="9"/>
      <c r="E33" s="9"/>
    </row>
    <row r="34">
      <c r="A34" s="7"/>
      <c r="B34" s="7"/>
      <c r="C34" s="7"/>
      <c r="D34" s="9"/>
      <c r="E34" s="9"/>
    </row>
    <row r="35">
      <c r="A35" s="7"/>
      <c r="B35" s="7"/>
      <c r="C35" s="7"/>
      <c r="D35" s="9"/>
      <c r="E35" s="9"/>
    </row>
    <row r="36">
      <c r="A36" s="7"/>
      <c r="B36" s="7"/>
      <c r="C36" s="7"/>
      <c r="D36" s="9"/>
      <c r="E36" s="9"/>
    </row>
    <row r="37">
      <c r="A37" s="7"/>
      <c r="B37" s="7"/>
      <c r="C37" s="7"/>
      <c r="D37" s="9"/>
      <c r="E37" s="9"/>
    </row>
    <row r="38">
      <c r="A38" s="7"/>
      <c r="B38" s="7"/>
      <c r="C38" s="7"/>
      <c r="D38" s="9"/>
      <c r="E38" s="9"/>
    </row>
    <row r="39">
      <c r="A39" s="7"/>
      <c r="B39" s="7"/>
      <c r="C39" s="7"/>
      <c r="D39" s="9"/>
      <c r="E39" s="9"/>
    </row>
    <row r="40">
      <c r="A40" s="7"/>
      <c r="B40" s="7"/>
      <c r="C40" s="7"/>
      <c r="D40" s="9"/>
      <c r="E40" s="9"/>
    </row>
    <row r="41">
      <c r="A41" s="7"/>
      <c r="B41" s="7"/>
      <c r="C41" s="7"/>
      <c r="D41" s="9"/>
      <c r="E41" s="9"/>
    </row>
    <row r="42">
      <c r="A42" s="7"/>
      <c r="B42" s="7"/>
      <c r="C42" s="7"/>
      <c r="D42" s="9"/>
      <c r="E42" s="9"/>
    </row>
    <row r="43">
      <c r="A43" s="7"/>
      <c r="B43" s="7"/>
      <c r="C43" s="7"/>
      <c r="D43" s="9"/>
      <c r="E43" s="9"/>
    </row>
    <row r="44">
      <c r="A44" s="7"/>
      <c r="B44" s="7"/>
      <c r="C44" s="7"/>
      <c r="D44" s="9"/>
      <c r="E44" s="9"/>
    </row>
    <row r="45">
      <c r="A45" s="7"/>
      <c r="B45" s="7"/>
      <c r="C45" s="7"/>
      <c r="D45" s="9"/>
      <c r="E45" s="9"/>
    </row>
    <row r="46">
      <c r="A46" s="7"/>
      <c r="B46" s="7"/>
      <c r="C46" s="7"/>
      <c r="D46" s="9"/>
      <c r="E46" s="9"/>
    </row>
    <row r="47">
      <c r="A47" s="7"/>
      <c r="B47" s="7"/>
      <c r="C47" s="7"/>
      <c r="D47" s="9"/>
      <c r="E47" s="9"/>
    </row>
    <row r="48">
      <c r="A48" s="7"/>
      <c r="B48" s="7"/>
      <c r="C48" s="7"/>
      <c r="D48" s="9"/>
      <c r="E48" s="9"/>
    </row>
    <row r="49">
      <c r="A49" s="7"/>
      <c r="B49" s="7"/>
      <c r="C49" s="7"/>
      <c r="D49" s="9"/>
      <c r="E49" s="9"/>
    </row>
    <row r="50">
      <c r="A50" s="7"/>
      <c r="B50" s="7"/>
      <c r="C50" s="7"/>
      <c r="D50" s="9"/>
      <c r="E50" s="9"/>
    </row>
  </sheetData>
  <dataValidations count="2">
    <dataValidation type="list" allowBlank="1" showInputMessage="1" showErrorMessage="1" errorTitle="등급 확인" error="S · A · B · C · D 중에서 고르세요." sqref="B5:B200">
      <formula1>"S,A,B,C,D"</formula1>
    </dataValidation>
    <dataValidation type="list" allowBlank="1" showInputMessage="1" showErrorMessage="1" errorTitle="방향 확인" error="up · down · flat 중에서 고르세요 (비워도 돼요=flat)." sqref="D5:D200">
      <formula1>"up,down,flat"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12" customWidth="1" min="3" max="3"/>
    <col width="13" customWidth="1" min="4" max="4"/>
    <col width="11" customWidth="1" min="5" max="5"/>
    <col width="11" customWidth="1" min="6" max="6"/>
    <col width="13" customWidth="1" min="7" max="7"/>
    <col width="11" customWidth="1" min="8" max="8"/>
  </cols>
  <sheetData>
    <row r="1">
      <c r="A1" s="1" t="inlineStr">
        <is>
          <t>⑤ 시황 (연도별 거시경제)</t>
        </is>
      </c>
    </row>
    <row r="2">
      <c r="A2" s="5" t="inlineStr">
        <is>
          <t>한 행 = 한 해. 실제 역사와 비슷하게 쓰면 교육 효과가 좋아요. 한 줄 요약은 학생 시황판 맨 위에 크게 보여요.</t>
        </is>
      </c>
    </row>
    <row r="4">
      <c r="A4" s="6" t="inlineStr">
        <is>
          <t>연도</t>
        </is>
      </c>
      <c r="B4" s="6" t="inlineStr">
        <is>
          <t>한 줄 요약</t>
        </is>
      </c>
      <c r="C4" s="6" t="inlineStr">
        <is>
          <t>코스피지수(pt)</t>
        </is>
      </c>
      <c r="D4" s="6" t="inlineStr">
        <is>
          <t>S&amp;P 500(pt)</t>
        </is>
      </c>
      <c r="E4" s="6" t="inlineStr">
        <is>
          <t>일본지수(pt)</t>
        </is>
      </c>
      <c r="F4" s="6" t="inlineStr">
        <is>
          <t>유럽지수(pt)</t>
        </is>
      </c>
      <c r="G4" s="6" t="inlineStr">
        <is>
          <t>기준금리(%)</t>
        </is>
      </c>
      <c r="H4" s="6" t="inlineStr">
        <is>
          <t>물가상승률(%)</t>
        </is>
      </c>
      <c r="I4" s="6" t="inlineStr">
        <is>
          <t>국제유가($)</t>
        </is>
      </c>
      <c r="J4" s="6" t="inlineStr">
        <is>
          <t>금($/oz)</t>
        </is>
      </c>
    </row>
    <row r="5">
      <c r="A5" s="7"/>
      <c r="B5" s="7"/>
      <c r="C5" s="7"/>
      <c r="D5" s="7"/>
      <c r="E5" s="7"/>
      <c r="F5" s="7"/>
      <c r="G5" s="7"/>
      <c r="H5" s="7"/>
      <c r="I5" s="7"/>
      <c r="J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8" customWidth="1" min="1" max="1"/>
    <col width="16" customWidth="1" min="2" max="2"/>
    <col width="12" customWidth="1" min="3" max="7"/>
  </cols>
  <sheetData>
    <row r="1">
      <c r="A1" s="1" t="inlineStr">
        <is>
          <t>★ 등락률 (자동 계산 · 참고용 — 힌트 방향 근거)</t>
        </is>
      </c>
    </row>
    <row r="2">
      <c r="A2" s="5" t="inlineStr">
        <is>
          <t>종목 시트에 가격을 넣으면 연도별 등락률이 자동 계산돼요. 힌트 방향(호재·악재) 정할 때 근거로 보세요. 이 시트는 자동이라 채우지 않습니다. (가격을 %로 넣은 칸은 —로 표시)</t>
        </is>
      </c>
    </row>
    <row r="4">
      <c r="A4" s="6" t="inlineStr">
        <is>
          <t>종목ID</t>
        </is>
      </c>
      <c r="B4" s="6" t="inlineStr">
        <is>
          <t>종목명</t>
        </is>
      </c>
      <c r="C4" s="6" t="inlineStr">
        <is>
          <t>2020→2021</t>
        </is>
      </c>
      <c r="D4" s="6" t="inlineStr">
        <is>
          <t>2021→2022</t>
        </is>
      </c>
      <c r="E4" s="6" t="inlineStr">
        <is>
          <t>2022→2023</t>
        </is>
      </c>
      <c r="F4" s="6" t="inlineStr">
        <is>
          <t>2023→2024</t>
        </is>
      </c>
      <c r="G4" s="6" t="inlineStr">
        <is>
          <t>2024→2025</t>
        </is>
      </c>
    </row>
    <row r="5">
      <c r="A5" s="11" t="str">
        <f>IF(종목!A5="","",종목!A5)</f>
      </c>
      <c r="B5" s="11" t="str">
        <f>IF(종목!B5="","",종목!B5)</f>
      </c>
      <c r="C5" s="11" t="str">
        <f>IF(종목!$A5="","",IF(종목!G5="","상장/정지",IF(종목!G5=0,"폐지(-100%)",IF(OR(종목!F5="",종목!F5=0),"신규상장",IFERROR(TEXT(종목!G5/종목!F5-1,"+0%;-0%"),"—")))))</f>
      </c>
      <c r="D5" s="11" t="str">
        <f>IF(종목!$A5="","",IF(종목!H5="","상장/정지",IF(종목!H5=0,"폐지(-100%)",IF(OR(종목!G5="",종목!G5=0),"신규상장",IFERROR(TEXT(종목!H5/종목!G5-1,"+0%;-0%"),"—")))))</f>
      </c>
      <c r="E5" s="11" t="str">
        <f>IF(종목!$A5="","",IF(종목!I5="","상장/정지",IF(종목!I5=0,"폐지(-100%)",IF(OR(종목!H5="",종목!H5=0),"신규상장",IFERROR(TEXT(종목!I5/종목!H5-1,"+0%;-0%"),"—")))))</f>
      </c>
      <c r="F5" s="11" t="str">
        <f>IF(종목!$A5="","",IF(종목!J5="","상장/정지",IF(종목!J5=0,"폐지(-100%)",IF(OR(종목!I5="",종목!I5=0),"신규상장",IFERROR(TEXT(종목!J5/종목!I5-1,"+0%;-0%"),"—")))))</f>
      </c>
      <c r="G5" s="11" t="str">
        <f>IF(종목!$A5="","",IF(종목!K5="","상장/정지",IF(종목!K5=0,"폐지(-100%)",IF(OR(종목!J5="",종목!J5=0),"신규상장",IFERROR(TEXT(종목!K5/종목!J5-1,"+0%;-0%"),"—")))))</f>
      </c>
    </row>
    <row r="6">
      <c r="A6" s="11" t="str">
        <f>IF(종목!A6="","",종목!A6)</f>
      </c>
      <c r="B6" s="11" t="str">
        <f>IF(종목!B6="","",종목!B6)</f>
      </c>
      <c r="C6" s="11" t="str">
        <f>IF(종목!$A6="","",IF(종목!G6="","상장/정지",IF(종목!G6=0,"폐지(-100%)",IF(OR(종목!F6="",종목!F6=0),"신규상장",IFERROR(TEXT(종목!G6/종목!F6-1,"+0%;-0%"),"—")))))</f>
      </c>
      <c r="D6" s="11" t="str">
        <f>IF(종목!$A6="","",IF(종목!H6="","상장/정지",IF(종목!H6=0,"폐지(-100%)",IF(OR(종목!G6="",종목!G6=0),"신규상장",IFERROR(TEXT(종목!H6/종목!G6-1,"+0%;-0%"),"—")))))</f>
      </c>
      <c r="E6" s="11" t="str">
        <f>IF(종목!$A6="","",IF(종목!I6="","상장/정지",IF(종목!I6=0,"폐지(-100%)",IF(OR(종목!H6="",종목!H6=0),"신규상장",IFERROR(TEXT(종목!I6/종목!H6-1,"+0%;-0%"),"—")))))</f>
      </c>
      <c r="F6" s="11" t="str">
        <f>IF(종목!$A6="","",IF(종목!J6="","상장/정지",IF(종목!J6=0,"폐지(-100%)",IF(OR(종목!I6="",종목!I6=0),"신규상장",IFERROR(TEXT(종목!J6/종목!I6-1,"+0%;-0%"),"—")))))</f>
      </c>
      <c r="G6" s="11" t="str">
        <f>IF(종목!$A6="","",IF(종목!K6="","상장/정지",IF(종목!K6=0,"폐지(-100%)",IF(OR(종목!J6="",종목!J6=0),"신규상장",IFERROR(TEXT(종목!K6/종목!J6-1,"+0%;-0%"),"—")))))</f>
      </c>
    </row>
    <row r="7">
      <c r="A7" s="11" t="str">
        <f>IF(종목!A7="","",종목!A7)</f>
      </c>
      <c r="B7" s="11" t="str">
        <f>IF(종목!B7="","",종목!B7)</f>
      </c>
      <c r="C7" s="11" t="str">
        <f>IF(종목!$A7="","",IF(종목!G7="","상장/정지",IF(종목!G7=0,"폐지(-100%)",IF(OR(종목!F7="",종목!F7=0),"신규상장",IFERROR(TEXT(종목!G7/종목!F7-1,"+0%;-0%"),"—")))))</f>
      </c>
      <c r="D7" s="11" t="str">
        <f>IF(종목!$A7="","",IF(종목!H7="","상장/정지",IF(종목!H7=0,"폐지(-100%)",IF(OR(종목!G7="",종목!G7=0),"신규상장",IFERROR(TEXT(종목!H7/종목!G7-1,"+0%;-0%"),"—")))))</f>
      </c>
      <c r="E7" s="11" t="str">
        <f>IF(종목!$A7="","",IF(종목!I7="","상장/정지",IF(종목!I7=0,"폐지(-100%)",IF(OR(종목!H7="",종목!H7=0),"신규상장",IFERROR(TEXT(종목!I7/종목!H7-1,"+0%;-0%"),"—")))))</f>
      </c>
      <c r="F7" s="11" t="str">
        <f>IF(종목!$A7="","",IF(종목!J7="","상장/정지",IF(종목!J7=0,"폐지(-100%)",IF(OR(종목!I7="",종목!I7=0),"신규상장",IFERROR(TEXT(종목!J7/종목!I7-1,"+0%;-0%"),"—")))))</f>
      </c>
      <c r="G7" s="11" t="str">
        <f>IF(종목!$A7="","",IF(종목!K7="","상장/정지",IF(종목!K7=0,"폐지(-100%)",IF(OR(종목!J7="",종목!J7=0),"신규상장",IFERROR(TEXT(종목!K7/종목!J7-1,"+0%;-0%"),"—")))))</f>
      </c>
    </row>
    <row r="8">
      <c r="A8" s="11" t="str">
        <f>IF(종목!A8="","",종목!A8)</f>
      </c>
      <c r="B8" s="11" t="str">
        <f>IF(종목!B8="","",종목!B8)</f>
      </c>
      <c r="C8" s="11" t="str">
        <f>IF(종목!$A8="","",IF(종목!G8="","상장/정지",IF(종목!G8=0,"폐지(-100%)",IF(OR(종목!F8="",종목!F8=0),"신규상장",IFERROR(TEXT(종목!G8/종목!F8-1,"+0%;-0%"),"—")))))</f>
      </c>
      <c r="D8" s="11" t="str">
        <f>IF(종목!$A8="","",IF(종목!H8="","상장/정지",IF(종목!H8=0,"폐지(-100%)",IF(OR(종목!G8="",종목!G8=0),"신규상장",IFERROR(TEXT(종목!H8/종목!G8-1,"+0%;-0%"),"—")))))</f>
      </c>
      <c r="E8" s="11" t="str">
        <f>IF(종목!$A8="","",IF(종목!I8="","상장/정지",IF(종목!I8=0,"폐지(-100%)",IF(OR(종목!H8="",종목!H8=0),"신규상장",IFERROR(TEXT(종목!I8/종목!H8-1,"+0%;-0%"),"—")))))</f>
      </c>
      <c r="F8" s="11" t="str">
        <f>IF(종목!$A8="","",IF(종목!J8="","상장/정지",IF(종목!J8=0,"폐지(-100%)",IF(OR(종목!I8="",종목!I8=0),"신규상장",IFERROR(TEXT(종목!J8/종목!I8-1,"+0%;-0%"),"—")))))</f>
      </c>
      <c r="G8" s="11" t="str">
        <f>IF(종목!$A8="","",IF(종목!K8="","상장/정지",IF(종목!K8=0,"폐지(-100%)",IF(OR(종목!J8="",종목!J8=0),"신규상장",IFERROR(TEXT(종목!K8/종목!J8-1,"+0%;-0%"),"—")))))</f>
      </c>
    </row>
    <row r="9">
      <c r="A9" s="11" t="str">
        <f>IF(종목!A9="","",종목!A9)</f>
      </c>
      <c r="B9" s="11" t="str">
        <f>IF(종목!B9="","",종목!B9)</f>
      </c>
      <c r="C9" s="11" t="str">
        <f>IF(종목!$A9="","",IF(종목!G9="","상장/정지",IF(종목!G9=0,"폐지(-100%)",IF(OR(종목!F9="",종목!F9=0),"신규상장",IFERROR(TEXT(종목!G9/종목!F9-1,"+0%;-0%"),"—")))))</f>
      </c>
      <c r="D9" s="11" t="str">
        <f>IF(종목!$A9="","",IF(종목!H9="","상장/정지",IF(종목!H9=0,"폐지(-100%)",IF(OR(종목!G9="",종목!G9=0),"신규상장",IFERROR(TEXT(종목!H9/종목!G9-1,"+0%;-0%"),"—")))))</f>
      </c>
      <c r="E9" s="11" t="str">
        <f>IF(종목!$A9="","",IF(종목!I9="","상장/정지",IF(종목!I9=0,"폐지(-100%)",IF(OR(종목!H9="",종목!H9=0),"신규상장",IFERROR(TEXT(종목!I9/종목!H9-1,"+0%;-0%"),"—")))))</f>
      </c>
      <c r="F9" s="11" t="str">
        <f>IF(종목!$A9="","",IF(종목!J9="","상장/정지",IF(종목!J9=0,"폐지(-100%)",IF(OR(종목!I9="",종목!I9=0),"신규상장",IFERROR(TEXT(종목!J9/종목!I9-1,"+0%;-0%"),"—")))))</f>
      </c>
      <c r="G9" s="11" t="str">
        <f>IF(종목!$A9="","",IF(종목!K9="","상장/정지",IF(종목!K9=0,"폐지(-100%)",IF(OR(종목!J9="",종목!J9=0),"신규상장",IFERROR(TEXT(종목!K9/종목!J9-1,"+0%;-0%"),"—")))))</f>
      </c>
    </row>
    <row r="10">
      <c r="A10" s="11" t="str">
        <f>IF(종목!A10="","",종목!A10)</f>
      </c>
      <c r="B10" s="11" t="str">
        <f>IF(종목!B10="","",종목!B10)</f>
      </c>
      <c r="C10" s="11" t="str">
        <f>IF(종목!$A10="","",IF(종목!G10="","상장/정지",IF(종목!G10=0,"폐지(-100%)",IF(OR(종목!F10="",종목!F10=0),"신규상장",IFERROR(TEXT(종목!G10/종목!F10-1,"+0%;-0%"),"—")))))</f>
      </c>
      <c r="D10" s="11" t="str">
        <f>IF(종목!$A10="","",IF(종목!H10="","상장/정지",IF(종목!H10=0,"폐지(-100%)",IF(OR(종목!G10="",종목!G10=0),"신규상장",IFERROR(TEXT(종목!H10/종목!G10-1,"+0%;-0%"),"—")))))</f>
      </c>
      <c r="E10" s="11" t="str">
        <f>IF(종목!$A10="","",IF(종목!I10="","상장/정지",IF(종목!I10=0,"폐지(-100%)",IF(OR(종목!H10="",종목!H10=0),"신규상장",IFERROR(TEXT(종목!I10/종목!H10-1,"+0%;-0%"),"—")))))</f>
      </c>
      <c r="F10" s="11" t="str">
        <f>IF(종목!$A10="","",IF(종목!J10="","상장/정지",IF(종목!J10=0,"폐지(-100%)",IF(OR(종목!I10="",종목!I10=0),"신규상장",IFERROR(TEXT(종목!J10/종목!I10-1,"+0%;-0%"),"—")))))</f>
      </c>
      <c r="G10" s="11" t="str">
        <f>IF(종목!$A10="","",IF(종목!K10="","상장/정지",IF(종목!K10=0,"폐지(-100%)",IF(OR(종목!J10="",종목!J10=0),"신규상장",IFERROR(TEXT(종목!K10/종목!J10-1,"+0%;-0%"),"—")))))</f>
      </c>
    </row>
    <row r="11">
      <c r="A11" s="11" t="str">
        <f>IF(종목!A11="","",종목!A11)</f>
      </c>
      <c r="B11" s="11" t="str">
        <f>IF(종목!B11="","",종목!B11)</f>
      </c>
      <c r="C11" s="11" t="str">
        <f>IF(종목!$A11="","",IF(종목!G11="","상장/정지",IF(종목!G11=0,"폐지(-100%)",IF(OR(종목!F11="",종목!F11=0),"신규상장",IFERROR(TEXT(종목!G11/종목!F11-1,"+0%;-0%"),"—")))))</f>
      </c>
      <c r="D11" s="11" t="str">
        <f>IF(종목!$A11="","",IF(종목!H11="","상장/정지",IF(종목!H11=0,"폐지(-100%)",IF(OR(종목!G11="",종목!G11=0),"신규상장",IFERROR(TEXT(종목!H11/종목!G11-1,"+0%;-0%"),"—")))))</f>
      </c>
      <c r="E11" s="11" t="str">
        <f>IF(종목!$A11="","",IF(종목!I11="","상장/정지",IF(종목!I11=0,"폐지(-100%)",IF(OR(종목!H11="",종목!H11=0),"신규상장",IFERROR(TEXT(종목!I11/종목!H11-1,"+0%;-0%"),"—")))))</f>
      </c>
      <c r="F11" s="11" t="str">
        <f>IF(종목!$A11="","",IF(종목!J11="","상장/정지",IF(종목!J11=0,"폐지(-100%)",IF(OR(종목!I11="",종목!I11=0),"신규상장",IFERROR(TEXT(종목!J11/종목!I11-1,"+0%;-0%"),"—")))))</f>
      </c>
      <c r="G11" s="11" t="str">
        <f>IF(종목!$A11="","",IF(종목!K11="","상장/정지",IF(종목!K11=0,"폐지(-100%)",IF(OR(종목!J11="",종목!J11=0),"신규상장",IFERROR(TEXT(종목!K11/종목!J11-1,"+0%;-0%"),"—")))))</f>
      </c>
    </row>
    <row r="12">
      <c r="A12" s="11" t="str">
        <f>IF(종목!A12="","",종목!A12)</f>
      </c>
      <c r="B12" s="11" t="str">
        <f>IF(종목!B12="","",종목!B12)</f>
      </c>
      <c r="C12" s="11" t="str">
        <f>IF(종목!$A12="","",IF(종목!G12="","상장/정지",IF(종목!G12=0,"폐지(-100%)",IF(OR(종목!F12="",종목!F12=0),"신규상장",IFERROR(TEXT(종목!G12/종목!F12-1,"+0%;-0%"),"—")))))</f>
      </c>
      <c r="D12" s="11" t="str">
        <f>IF(종목!$A12="","",IF(종목!H12="","상장/정지",IF(종목!H12=0,"폐지(-100%)",IF(OR(종목!G12="",종목!G12=0),"신규상장",IFERROR(TEXT(종목!H12/종목!G12-1,"+0%;-0%"),"—")))))</f>
      </c>
      <c r="E12" s="11" t="str">
        <f>IF(종목!$A12="","",IF(종목!I12="","상장/정지",IF(종목!I12=0,"폐지(-100%)",IF(OR(종목!H12="",종목!H12=0),"신규상장",IFERROR(TEXT(종목!I12/종목!H12-1,"+0%;-0%"),"—")))))</f>
      </c>
      <c r="F12" s="11" t="str">
        <f>IF(종목!$A12="","",IF(종목!J12="","상장/정지",IF(종목!J12=0,"폐지(-100%)",IF(OR(종목!I12="",종목!I12=0),"신규상장",IFERROR(TEXT(종목!J12/종목!I12-1,"+0%;-0%"),"—")))))</f>
      </c>
      <c r="G12" s="11" t="str">
        <f>IF(종목!$A12="","",IF(종목!K12="","상장/정지",IF(종목!K12=0,"폐지(-100%)",IF(OR(종목!J12="",종목!J12=0),"신규상장",IFERROR(TEXT(종목!K12/종목!J12-1,"+0%;-0%"),"—")))))</f>
      </c>
    </row>
    <row r="13">
      <c r="A13" s="11" t="str">
        <f>IF(종목!A13="","",종목!A13)</f>
      </c>
      <c r="B13" s="11" t="str">
        <f>IF(종목!B13="","",종목!B13)</f>
      </c>
      <c r="C13" s="11" t="str">
        <f>IF(종목!$A13="","",IF(종목!G13="","상장/정지",IF(종목!G13=0,"폐지(-100%)",IF(OR(종목!F13="",종목!F13=0),"신규상장",IFERROR(TEXT(종목!G13/종목!F13-1,"+0%;-0%"),"—")))))</f>
      </c>
      <c r="D13" s="11" t="str">
        <f>IF(종목!$A13="","",IF(종목!H13="","상장/정지",IF(종목!H13=0,"폐지(-100%)",IF(OR(종목!G13="",종목!G13=0),"신규상장",IFERROR(TEXT(종목!H13/종목!G13-1,"+0%;-0%"),"—")))))</f>
      </c>
      <c r="E13" s="11" t="str">
        <f>IF(종목!$A13="","",IF(종목!I13="","상장/정지",IF(종목!I13=0,"폐지(-100%)",IF(OR(종목!H13="",종목!H13=0),"신규상장",IFERROR(TEXT(종목!I13/종목!H13-1,"+0%;-0%"),"—")))))</f>
      </c>
      <c r="F13" s="11" t="str">
        <f>IF(종목!$A13="","",IF(종목!J13="","상장/정지",IF(종목!J13=0,"폐지(-100%)",IF(OR(종목!I13="",종목!I13=0),"신규상장",IFERROR(TEXT(종목!J13/종목!I13-1,"+0%;-0%"),"—")))))</f>
      </c>
      <c r="G13" s="11" t="str">
        <f>IF(종목!$A13="","",IF(종목!K13="","상장/정지",IF(종목!K13=0,"폐지(-100%)",IF(OR(종목!J13="",종목!J13=0),"신규상장",IFERROR(TEXT(종목!K13/종목!J13-1,"+0%;-0%"),"—")))))</f>
      </c>
    </row>
    <row r="14">
      <c r="A14" s="11" t="str">
        <f>IF(종목!A14="","",종목!A14)</f>
      </c>
      <c r="B14" s="11" t="str">
        <f>IF(종목!B14="","",종목!B14)</f>
      </c>
      <c r="C14" s="11" t="str">
        <f>IF(종목!$A14="","",IF(종목!G14="","상장/정지",IF(종목!G14=0,"폐지(-100%)",IF(OR(종목!F14="",종목!F14=0),"신규상장",IFERROR(TEXT(종목!G14/종목!F14-1,"+0%;-0%"),"—")))))</f>
      </c>
      <c r="D14" s="11" t="str">
        <f>IF(종목!$A14="","",IF(종목!H14="","상장/정지",IF(종목!H14=0,"폐지(-100%)",IF(OR(종목!G14="",종목!G14=0),"신규상장",IFERROR(TEXT(종목!H14/종목!G14-1,"+0%;-0%"),"—")))))</f>
      </c>
      <c r="E14" s="11" t="str">
        <f>IF(종목!$A14="","",IF(종목!I14="","상장/정지",IF(종목!I14=0,"폐지(-100%)",IF(OR(종목!H14="",종목!H14=0),"신규상장",IFERROR(TEXT(종목!I14/종목!H14-1,"+0%;-0%"),"—")))))</f>
      </c>
      <c r="F14" s="11" t="str">
        <f>IF(종목!$A14="","",IF(종목!J14="","상장/정지",IF(종목!J14=0,"폐지(-100%)",IF(OR(종목!I14="",종목!I14=0),"신규상장",IFERROR(TEXT(종목!J14/종목!I14-1,"+0%;-0%"),"—")))))</f>
      </c>
      <c r="G14" s="11" t="str">
        <f>IF(종목!$A14="","",IF(종목!K14="","상장/정지",IF(종목!K14=0,"폐지(-100%)",IF(OR(종목!J14="",종목!J14=0),"신규상장",IFERROR(TEXT(종목!K14/종목!J14-1,"+0%;-0%"),"—")))))</f>
      </c>
    </row>
    <row r="15">
      <c r="A15" s="11" t="str">
        <f>IF(종목!A15="","",종목!A15)</f>
      </c>
      <c r="B15" s="11" t="str">
        <f>IF(종목!B15="","",종목!B15)</f>
      </c>
      <c r="C15" s="11" t="str">
        <f>IF(종목!$A15="","",IF(종목!G15="","상장/정지",IF(종목!G15=0,"폐지(-100%)",IF(OR(종목!F15="",종목!F15=0),"신규상장",IFERROR(TEXT(종목!G15/종목!F15-1,"+0%;-0%"),"—")))))</f>
      </c>
      <c r="D15" s="11" t="str">
        <f>IF(종목!$A15="","",IF(종목!H15="","상장/정지",IF(종목!H15=0,"폐지(-100%)",IF(OR(종목!G15="",종목!G15=0),"신규상장",IFERROR(TEXT(종목!H15/종목!G15-1,"+0%;-0%"),"—")))))</f>
      </c>
      <c r="E15" s="11" t="str">
        <f>IF(종목!$A15="","",IF(종목!I15="","상장/정지",IF(종목!I15=0,"폐지(-100%)",IF(OR(종목!H15="",종목!H15=0),"신규상장",IFERROR(TEXT(종목!I15/종목!H15-1,"+0%;-0%"),"—")))))</f>
      </c>
      <c r="F15" s="11" t="str">
        <f>IF(종목!$A15="","",IF(종목!J15="","상장/정지",IF(종목!J15=0,"폐지(-100%)",IF(OR(종목!I15="",종목!I15=0),"신규상장",IFERROR(TEXT(종목!J15/종목!I15-1,"+0%;-0%"),"—")))))</f>
      </c>
      <c r="G15" s="11" t="str">
        <f>IF(종목!$A15="","",IF(종목!K15="","상장/정지",IF(종목!K15=0,"폐지(-100%)",IF(OR(종목!J15="",종목!J15=0),"신규상장",IFERROR(TEXT(종목!K15/종목!J15-1,"+0%;-0%"),"—")))))</f>
      </c>
    </row>
    <row r="16">
      <c r="A16" s="11" t="str">
        <f>IF(종목!A16="","",종목!A16)</f>
      </c>
      <c r="B16" s="11" t="str">
        <f>IF(종목!B16="","",종목!B16)</f>
      </c>
      <c r="C16" s="11" t="str">
        <f>IF(종목!$A16="","",IF(종목!G16="","상장/정지",IF(종목!G16=0,"폐지(-100%)",IF(OR(종목!F16="",종목!F16=0),"신규상장",IFERROR(TEXT(종목!G16/종목!F16-1,"+0%;-0%"),"—")))))</f>
      </c>
      <c r="D16" s="11" t="str">
        <f>IF(종목!$A16="","",IF(종목!H16="","상장/정지",IF(종목!H16=0,"폐지(-100%)",IF(OR(종목!G16="",종목!G16=0),"신규상장",IFERROR(TEXT(종목!H16/종목!G16-1,"+0%;-0%"),"—")))))</f>
      </c>
      <c r="E16" s="11" t="str">
        <f>IF(종목!$A16="","",IF(종목!I16="","상장/정지",IF(종목!I16=0,"폐지(-100%)",IF(OR(종목!H16="",종목!H16=0),"신규상장",IFERROR(TEXT(종목!I16/종목!H16-1,"+0%;-0%"),"—")))))</f>
      </c>
      <c r="F16" s="11" t="str">
        <f>IF(종목!$A16="","",IF(종목!J16="","상장/정지",IF(종목!J16=0,"폐지(-100%)",IF(OR(종목!I16="",종목!I16=0),"신규상장",IFERROR(TEXT(종목!J16/종목!I16-1,"+0%;-0%"),"—")))))</f>
      </c>
      <c r="G16" s="11" t="str">
        <f>IF(종목!$A16="","",IF(종목!K16="","상장/정지",IF(종목!K16=0,"폐지(-100%)",IF(OR(종목!J16="",종목!J16=0),"신규상장",IFERROR(TEXT(종목!K16/종목!J16-1,"+0%;-0%"),"—")))))</f>
      </c>
    </row>
    <row r="17">
      <c r="A17" s="11" t="str">
        <f>IF(종목!A17="","",종목!A17)</f>
      </c>
      <c r="B17" s="11" t="str">
        <f>IF(종목!B17="","",종목!B17)</f>
      </c>
      <c r="C17" s="11" t="str">
        <f>IF(종목!$A17="","",IF(종목!G17="","상장/정지",IF(종목!G17=0,"폐지(-100%)",IF(OR(종목!F17="",종목!F17=0),"신규상장",IFERROR(TEXT(종목!G17/종목!F17-1,"+0%;-0%"),"—")))))</f>
      </c>
      <c r="D17" s="11" t="str">
        <f>IF(종목!$A17="","",IF(종목!H17="","상장/정지",IF(종목!H17=0,"폐지(-100%)",IF(OR(종목!G17="",종목!G17=0),"신규상장",IFERROR(TEXT(종목!H17/종목!G17-1,"+0%;-0%"),"—")))))</f>
      </c>
      <c r="E17" s="11" t="str">
        <f>IF(종목!$A17="","",IF(종목!I17="","상장/정지",IF(종목!I17=0,"폐지(-100%)",IF(OR(종목!H17="",종목!H17=0),"신규상장",IFERROR(TEXT(종목!I17/종목!H17-1,"+0%;-0%"),"—")))))</f>
      </c>
      <c r="F17" s="11" t="str">
        <f>IF(종목!$A17="","",IF(종목!J17="","상장/정지",IF(종목!J17=0,"폐지(-100%)",IF(OR(종목!I17="",종목!I17=0),"신규상장",IFERROR(TEXT(종목!J17/종목!I17-1,"+0%;-0%"),"—")))))</f>
      </c>
      <c r="G17" s="11" t="str">
        <f>IF(종목!$A17="","",IF(종목!K17="","상장/정지",IF(종목!K17=0,"폐지(-100%)",IF(OR(종목!J17="",종목!J17=0),"신규상장",IFERROR(TEXT(종목!K17/종목!J17-1,"+0%;-0%"),"—")))))</f>
      </c>
    </row>
    <row r="18">
      <c r="A18" s="11" t="str">
        <f>IF(종목!A18="","",종목!A18)</f>
      </c>
      <c r="B18" s="11" t="str">
        <f>IF(종목!B18="","",종목!B18)</f>
      </c>
      <c r="C18" s="11" t="str">
        <f>IF(종목!$A18="","",IF(종목!G18="","상장/정지",IF(종목!G18=0,"폐지(-100%)",IF(OR(종목!F18="",종목!F18=0),"신규상장",IFERROR(TEXT(종목!G18/종목!F18-1,"+0%;-0%"),"—")))))</f>
      </c>
      <c r="D18" s="11" t="str">
        <f>IF(종목!$A18="","",IF(종목!H18="","상장/정지",IF(종목!H18=0,"폐지(-100%)",IF(OR(종목!G18="",종목!G18=0),"신규상장",IFERROR(TEXT(종목!H18/종목!G18-1,"+0%;-0%"),"—")))))</f>
      </c>
      <c r="E18" s="11" t="str">
        <f>IF(종목!$A18="","",IF(종목!I18="","상장/정지",IF(종목!I18=0,"폐지(-100%)",IF(OR(종목!H18="",종목!H18=0),"신규상장",IFERROR(TEXT(종목!I18/종목!H18-1,"+0%;-0%"),"—")))))</f>
      </c>
      <c r="F18" s="11" t="str">
        <f>IF(종목!$A18="","",IF(종목!J18="","상장/정지",IF(종목!J18=0,"폐지(-100%)",IF(OR(종목!I18="",종목!I18=0),"신규상장",IFERROR(TEXT(종목!J18/종목!I18-1,"+0%;-0%"),"—")))))</f>
      </c>
      <c r="G18" s="11" t="str">
        <f>IF(종목!$A18="","",IF(종목!K18="","상장/정지",IF(종목!K18=0,"폐지(-100%)",IF(OR(종목!J18="",종목!J18=0),"신규상장",IFERROR(TEXT(종목!K18/종목!J18-1,"+0%;-0%"),"—")))))</f>
      </c>
    </row>
    <row r="19">
      <c r="A19" s="11" t="str">
        <f>IF(종목!A19="","",종목!A19)</f>
      </c>
      <c r="B19" s="11" t="str">
        <f>IF(종목!B19="","",종목!B19)</f>
      </c>
      <c r="C19" s="11" t="str">
        <f>IF(종목!$A19="","",IF(종목!G19="","상장/정지",IF(종목!G19=0,"폐지(-100%)",IF(OR(종목!F19="",종목!F19=0),"신규상장",IFERROR(TEXT(종목!G19/종목!F19-1,"+0%;-0%"),"—")))))</f>
      </c>
      <c r="D19" s="11" t="str">
        <f>IF(종목!$A19="","",IF(종목!H19="","상장/정지",IF(종목!H19=0,"폐지(-100%)",IF(OR(종목!G19="",종목!G19=0),"신규상장",IFERROR(TEXT(종목!H19/종목!G19-1,"+0%;-0%"),"—")))))</f>
      </c>
      <c r="E19" s="11" t="str">
        <f>IF(종목!$A19="","",IF(종목!I19="","상장/정지",IF(종목!I19=0,"폐지(-100%)",IF(OR(종목!H19="",종목!H19=0),"신규상장",IFERROR(TEXT(종목!I19/종목!H19-1,"+0%;-0%"),"—")))))</f>
      </c>
      <c r="F19" s="11" t="str">
        <f>IF(종목!$A19="","",IF(종목!J19="","상장/정지",IF(종목!J19=0,"폐지(-100%)",IF(OR(종목!I19="",종목!I19=0),"신규상장",IFERROR(TEXT(종목!J19/종목!I19-1,"+0%;-0%"),"—")))))</f>
      </c>
      <c r="G19" s="11" t="str">
        <f>IF(종목!$A19="","",IF(종목!K19="","상장/정지",IF(종목!K19=0,"폐지(-100%)",IF(OR(종목!J19="",종목!J19=0),"신규상장",IFERROR(TEXT(종목!K19/종목!J19-1,"+0%;-0%"),"—")))))</f>
      </c>
    </row>
    <row r="20">
      <c r="A20" s="11" t="str">
        <f>IF(종목!A20="","",종목!A20)</f>
      </c>
      <c r="B20" s="11" t="str">
        <f>IF(종목!B20="","",종목!B20)</f>
      </c>
      <c r="C20" s="11" t="str">
        <f>IF(종목!$A20="","",IF(종목!G20="","상장/정지",IF(종목!G20=0,"폐지(-100%)",IF(OR(종목!F20="",종목!F20=0),"신규상장",IFERROR(TEXT(종목!G20/종목!F20-1,"+0%;-0%"),"—")))))</f>
      </c>
      <c r="D20" s="11" t="str">
        <f>IF(종목!$A20="","",IF(종목!H20="","상장/정지",IF(종목!H20=0,"폐지(-100%)",IF(OR(종목!G20="",종목!G20=0),"신규상장",IFERROR(TEXT(종목!H20/종목!G20-1,"+0%;-0%"),"—")))))</f>
      </c>
      <c r="E20" s="11" t="str">
        <f>IF(종목!$A20="","",IF(종목!I20="","상장/정지",IF(종목!I20=0,"폐지(-100%)",IF(OR(종목!H20="",종목!H20=0),"신규상장",IFERROR(TEXT(종목!I20/종목!H20-1,"+0%;-0%"),"—")))))</f>
      </c>
      <c r="F20" s="11" t="str">
        <f>IF(종목!$A20="","",IF(종목!J20="","상장/정지",IF(종목!J20=0,"폐지(-100%)",IF(OR(종목!I20="",종목!I20=0),"신규상장",IFERROR(TEXT(종목!J20/종목!I20-1,"+0%;-0%"),"—")))))</f>
      </c>
      <c r="G20" s="11" t="str">
        <f>IF(종목!$A20="","",IF(종목!K20="","상장/정지",IF(종목!K20=0,"폐지(-100%)",IF(OR(종목!J20="",종목!J20=0),"신규상장",IFERROR(TEXT(종목!K20/종목!J20-1,"+0%;-0%"),"—")))))</f>
      </c>
    </row>
    <row r="21">
      <c r="A21" s="11" t="str">
        <f>IF(종목!A21="","",종목!A21)</f>
      </c>
      <c r="B21" s="11" t="str">
        <f>IF(종목!B21="","",종목!B21)</f>
      </c>
      <c r="C21" s="11" t="str">
        <f>IF(종목!$A21="","",IF(종목!G21="","상장/정지",IF(종목!G21=0,"폐지(-100%)",IF(OR(종목!F21="",종목!F21=0),"신규상장",IFERROR(TEXT(종목!G21/종목!F21-1,"+0%;-0%"),"—")))))</f>
      </c>
      <c r="D21" s="11" t="str">
        <f>IF(종목!$A21="","",IF(종목!H21="","상장/정지",IF(종목!H21=0,"폐지(-100%)",IF(OR(종목!G21="",종목!G21=0),"신규상장",IFERROR(TEXT(종목!H21/종목!G21-1,"+0%;-0%"),"—")))))</f>
      </c>
      <c r="E21" s="11" t="str">
        <f>IF(종목!$A21="","",IF(종목!I21="","상장/정지",IF(종목!I21=0,"폐지(-100%)",IF(OR(종목!H21="",종목!H21=0),"신규상장",IFERROR(TEXT(종목!I21/종목!H21-1,"+0%;-0%"),"—")))))</f>
      </c>
      <c r="F21" s="11" t="str">
        <f>IF(종목!$A21="","",IF(종목!J21="","상장/정지",IF(종목!J21=0,"폐지(-100%)",IF(OR(종목!I21="",종목!I21=0),"신규상장",IFERROR(TEXT(종목!J21/종목!I21-1,"+0%;-0%"),"—")))))</f>
      </c>
      <c r="G21" s="11" t="str">
        <f>IF(종목!$A21="","",IF(종목!K21="","상장/정지",IF(종목!K21=0,"폐지(-100%)",IF(OR(종목!J21="",종목!J21=0),"신규상장",IFERROR(TEXT(종목!K21/종목!J21-1,"+0%;-0%"),"—")))))</f>
      </c>
    </row>
    <row r="22">
      <c r="A22" s="11" t="str">
        <f>IF(종목!A22="","",종목!A22)</f>
      </c>
      <c r="B22" s="11" t="str">
        <f>IF(종목!B22="","",종목!B22)</f>
      </c>
      <c r="C22" s="11" t="str">
        <f>IF(종목!$A22="","",IF(종목!G22="","상장/정지",IF(종목!G22=0,"폐지(-100%)",IF(OR(종목!F22="",종목!F22=0),"신규상장",IFERROR(TEXT(종목!G22/종목!F22-1,"+0%;-0%"),"—")))))</f>
      </c>
      <c r="D22" s="11" t="str">
        <f>IF(종목!$A22="","",IF(종목!H22="","상장/정지",IF(종목!H22=0,"폐지(-100%)",IF(OR(종목!G22="",종목!G22=0),"신규상장",IFERROR(TEXT(종목!H22/종목!G22-1,"+0%;-0%"),"—")))))</f>
      </c>
      <c r="E22" s="11" t="str">
        <f>IF(종목!$A22="","",IF(종목!I22="","상장/정지",IF(종목!I22=0,"폐지(-100%)",IF(OR(종목!H22="",종목!H22=0),"신규상장",IFERROR(TEXT(종목!I22/종목!H22-1,"+0%;-0%"),"—")))))</f>
      </c>
      <c r="F22" s="11" t="str">
        <f>IF(종목!$A22="","",IF(종목!J22="","상장/정지",IF(종목!J22=0,"폐지(-100%)",IF(OR(종목!I22="",종목!I22=0),"신규상장",IFERROR(TEXT(종목!J22/종목!I22-1,"+0%;-0%"),"—")))))</f>
      </c>
      <c r="G22" s="11" t="str">
        <f>IF(종목!$A22="","",IF(종목!K22="","상장/정지",IF(종목!K22=0,"폐지(-100%)",IF(OR(종목!J22="",종목!J22=0),"신규상장",IFERROR(TEXT(종목!K22/종목!J22-1,"+0%;-0%"),"—")))))</f>
      </c>
    </row>
    <row r="23">
      <c r="A23" s="11" t="str">
        <f>IF(종목!A23="","",종목!A23)</f>
      </c>
      <c r="B23" s="11" t="str">
        <f>IF(종목!B23="","",종목!B23)</f>
      </c>
      <c r="C23" s="11" t="str">
        <f>IF(종목!$A23="","",IF(종목!G23="","상장/정지",IF(종목!G23=0,"폐지(-100%)",IF(OR(종목!F23="",종목!F23=0),"신규상장",IFERROR(TEXT(종목!G23/종목!F23-1,"+0%;-0%"),"—")))))</f>
      </c>
      <c r="D23" s="11" t="str">
        <f>IF(종목!$A23="","",IF(종목!H23="","상장/정지",IF(종목!H23=0,"폐지(-100%)",IF(OR(종목!G23="",종목!G23=0),"신규상장",IFERROR(TEXT(종목!H23/종목!G23-1,"+0%;-0%"),"—")))))</f>
      </c>
      <c r="E23" s="11" t="str">
        <f>IF(종목!$A23="","",IF(종목!I23="","상장/정지",IF(종목!I23=0,"폐지(-100%)",IF(OR(종목!H23="",종목!H23=0),"신규상장",IFERROR(TEXT(종목!I23/종목!H23-1,"+0%;-0%"),"—")))))</f>
      </c>
      <c r="F23" s="11" t="str">
        <f>IF(종목!$A23="","",IF(종목!J23="","상장/정지",IF(종목!J23=0,"폐지(-100%)",IF(OR(종목!I23="",종목!I23=0),"신규상장",IFERROR(TEXT(종목!J23/종목!I23-1,"+0%;-0%"),"—")))))</f>
      </c>
      <c r="G23" s="11" t="str">
        <f>IF(종목!$A23="","",IF(종목!K23="","상장/정지",IF(종목!K23=0,"폐지(-100%)",IF(OR(종목!J23="",종목!J23=0),"신규상장",IFERROR(TEXT(종목!K23/종목!J23-1,"+0%;-0%"),"—")))))</f>
      </c>
    </row>
    <row r="24">
      <c r="A24" s="11" t="str">
        <f>IF(종목!A24="","",종목!A24)</f>
      </c>
      <c r="B24" s="11" t="str">
        <f>IF(종목!B24="","",종목!B24)</f>
      </c>
      <c r="C24" s="11" t="str">
        <f>IF(종목!$A24="","",IF(종목!G24="","상장/정지",IF(종목!G24=0,"폐지(-100%)",IF(OR(종목!F24="",종목!F24=0),"신규상장",IFERROR(TEXT(종목!G24/종목!F24-1,"+0%;-0%"),"—")))))</f>
      </c>
      <c r="D24" s="11" t="str">
        <f>IF(종목!$A24="","",IF(종목!H24="","상장/정지",IF(종목!H24=0,"폐지(-100%)",IF(OR(종목!G24="",종목!G24=0),"신규상장",IFERROR(TEXT(종목!H24/종목!G24-1,"+0%;-0%"),"—")))))</f>
      </c>
      <c r="E24" s="11" t="str">
        <f>IF(종목!$A24="","",IF(종목!I24="","상장/정지",IF(종목!I24=0,"폐지(-100%)",IF(OR(종목!H24="",종목!H24=0),"신규상장",IFERROR(TEXT(종목!I24/종목!H24-1,"+0%;-0%"),"—")))))</f>
      </c>
      <c r="F24" s="11" t="str">
        <f>IF(종목!$A24="","",IF(종목!J24="","상장/정지",IF(종목!J24=0,"폐지(-100%)",IF(OR(종목!I24="",종목!I24=0),"신규상장",IFERROR(TEXT(종목!J24/종목!I24-1,"+0%;-0%"),"—")))))</f>
      </c>
      <c r="G24" s="11" t="str">
        <f>IF(종목!$A24="","",IF(종목!K24="","상장/정지",IF(종목!K24=0,"폐지(-100%)",IF(OR(종목!J24="",종목!J24=0),"신규상장",IFERROR(TEXT(종목!K24/종목!J24-1,"+0%;-0%"),"—")))))</f>
      </c>
    </row>
    <row r="25">
      <c r="A25" s="11" t="str">
        <f>IF(종목!A25="","",종목!A25)</f>
      </c>
      <c r="B25" s="11" t="str">
        <f>IF(종목!B25="","",종목!B25)</f>
      </c>
      <c r="C25" s="11" t="str">
        <f>IF(종목!$A25="","",IF(종목!G25="","상장/정지",IF(종목!G25=0,"폐지(-100%)",IF(OR(종목!F25="",종목!F25=0),"신규상장",IFERROR(TEXT(종목!G25/종목!F25-1,"+0%;-0%"),"—")))))</f>
      </c>
      <c r="D25" s="11" t="str">
        <f>IF(종목!$A25="","",IF(종목!H25="","상장/정지",IF(종목!H25=0,"폐지(-100%)",IF(OR(종목!G25="",종목!G25=0),"신규상장",IFERROR(TEXT(종목!H25/종목!G25-1,"+0%;-0%"),"—")))))</f>
      </c>
      <c r="E25" s="11" t="str">
        <f>IF(종목!$A25="","",IF(종목!I25="","상장/정지",IF(종목!I25=0,"폐지(-100%)",IF(OR(종목!H25="",종목!H25=0),"신규상장",IFERROR(TEXT(종목!I25/종목!H25-1,"+0%;-0%"),"—")))))</f>
      </c>
      <c r="F25" s="11" t="str">
        <f>IF(종목!$A25="","",IF(종목!J25="","상장/정지",IF(종목!J25=0,"폐지(-100%)",IF(OR(종목!I25="",종목!I25=0),"신규상장",IFERROR(TEXT(종목!J25/종목!I25-1,"+0%;-0%"),"—")))))</f>
      </c>
      <c r="G25" s="11" t="str">
        <f>IF(종목!$A25="","",IF(종목!K25="","상장/정지",IF(종목!K25=0,"폐지(-100%)",IF(OR(종목!J25="",종목!J25=0),"신규상장",IFERROR(TEXT(종목!K25/종목!J25-1,"+0%;-0%"),"—")))))</f>
      </c>
    </row>
    <row r="26">
      <c r="A26" s="11" t="str">
        <f>IF(종목!A26="","",종목!A26)</f>
      </c>
      <c r="B26" s="11" t="str">
        <f>IF(종목!B26="","",종목!B26)</f>
      </c>
      <c r="C26" s="11" t="str">
        <f>IF(종목!$A26="","",IF(종목!G26="","상장/정지",IF(종목!G26=0,"폐지(-100%)",IF(OR(종목!F26="",종목!F26=0),"신규상장",IFERROR(TEXT(종목!G26/종목!F26-1,"+0%;-0%"),"—")))))</f>
      </c>
      <c r="D26" s="11" t="str">
        <f>IF(종목!$A26="","",IF(종목!H26="","상장/정지",IF(종목!H26=0,"폐지(-100%)",IF(OR(종목!G26="",종목!G26=0),"신규상장",IFERROR(TEXT(종목!H26/종목!G26-1,"+0%;-0%"),"—")))))</f>
      </c>
      <c r="E26" s="11" t="str">
        <f>IF(종목!$A26="","",IF(종목!I26="","상장/정지",IF(종목!I26=0,"폐지(-100%)",IF(OR(종목!H26="",종목!H26=0),"신규상장",IFERROR(TEXT(종목!I26/종목!H26-1,"+0%;-0%"),"—")))))</f>
      </c>
      <c r="F26" s="11" t="str">
        <f>IF(종목!$A26="","",IF(종목!J26="","상장/정지",IF(종목!J26=0,"폐지(-100%)",IF(OR(종목!I26="",종목!I26=0),"신규상장",IFERROR(TEXT(종목!J26/종목!I26-1,"+0%;-0%"),"—")))))</f>
      </c>
      <c r="G26" s="11" t="str">
        <f>IF(종목!$A26="","",IF(종목!K26="","상장/정지",IF(종목!K26=0,"폐지(-100%)",IF(OR(종목!J26="",종목!J26=0),"신규상장",IFERROR(TEXT(종목!K26/종목!J26-1,"+0%;-0%"),"—")))))</f>
      </c>
    </row>
    <row r="27">
      <c r="A27" s="11" t="str">
        <f>IF(종목!A27="","",종목!A27)</f>
      </c>
      <c r="B27" s="11" t="str">
        <f>IF(종목!B27="","",종목!B27)</f>
      </c>
      <c r="C27" s="11" t="str">
        <f>IF(종목!$A27="","",IF(종목!G27="","상장/정지",IF(종목!G27=0,"폐지(-100%)",IF(OR(종목!F27="",종목!F27=0),"신규상장",IFERROR(TEXT(종목!G27/종목!F27-1,"+0%;-0%"),"—")))))</f>
      </c>
      <c r="D27" s="11" t="str">
        <f>IF(종목!$A27="","",IF(종목!H27="","상장/정지",IF(종목!H27=0,"폐지(-100%)",IF(OR(종목!G27="",종목!G27=0),"신규상장",IFERROR(TEXT(종목!H27/종목!G27-1,"+0%;-0%"),"—")))))</f>
      </c>
      <c r="E27" s="11" t="str">
        <f>IF(종목!$A27="","",IF(종목!I27="","상장/정지",IF(종목!I27=0,"폐지(-100%)",IF(OR(종목!H27="",종목!H27=0),"신규상장",IFERROR(TEXT(종목!I27/종목!H27-1,"+0%;-0%"),"—")))))</f>
      </c>
      <c r="F27" s="11" t="str">
        <f>IF(종목!$A27="","",IF(종목!J27="","상장/정지",IF(종목!J27=0,"폐지(-100%)",IF(OR(종목!I27="",종목!I27=0),"신규상장",IFERROR(TEXT(종목!J27/종목!I27-1,"+0%;-0%"),"—")))))</f>
      </c>
      <c r="G27" s="11" t="str">
        <f>IF(종목!$A27="","",IF(종목!K27="","상장/정지",IF(종목!K27=0,"폐지(-100%)",IF(OR(종목!J27="",종목!J27=0),"신규상장",IFERROR(TEXT(종목!K27/종목!J27-1,"+0%;-0%"),"—")))))</f>
      </c>
    </row>
    <row r="28">
      <c r="A28" s="11" t="str">
        <f>IF(종목!A28="","",종목!A28)</f>
      </c>
      <c r="B28" s="11" t="str">
        <f>IF(종목!B28="","",종목!B28)</f>
      </c>
      <c r="C28" s="11" t="str">
        <f>IF(종목!$A28="","",IF(종목!G28="","상장/정지",IF(종목!G28=0,"폐지(-100%)",IF(OR(종목!F28="",종목!F28=0),"신규상장",IFERROR(TEXT(종목!G28/종목!F28-1,"+0%;-0%"),"—")))))</f>
      </c>
      <c r="D28" s="11" t="str">
        <f>IF(종목!$A28="","",IF(종목!H28="","상장/정지",IF(종목!H28=0,"폐지(-100%)",IF(OR(종목!G28="",종목!G28=0),"신규상장",IFERROR(TEXT(종목!H28/종목!G28-1,"+0%;-0%"),"—")))))</f>
      </c>
      <c r="E28" s="11" t="str">
        <f>IF(종목!$A28="","",IF(종목!I28="","상장/정지",IF(종목!I28=0,"폐지(-100%)",IF(OR(종목!H28="",종목!H28=0),"신규상장",IFERROR(TEXT(종목!I28/종목!H28-1,"+0%;-0%"),"—")))))</f>
      </c>
      <c r="F28" s="11" t="str">
        <f>IF(종목!$A28="","",IF(종목!J28="","상장/정지",IF(종목!J28=0,"폐지(-100%)",IF(OR(종목!I28="",종목!I28=0),"신규상장",IFERROR(TEXT(종목!J28/종목!I28-1,"+0%;-0%"),"—")))))</f>
      </c>
      <c r="G28" s="11" t="str">
        <f>IF(종목!$A28="","",IF(종목!K28="","상장/정지",IF(종목!K28=0,"폐지(-100%)",IF(OR(종목!J28="",종목!J28=0),"신규상장",IFERROR(TEXT(종목!K28/종목!J28-1,"+0%;-0%"),"—")))))</f>
      </c>
    </row>
    <row r="29">
      <c r="A29" s="11" t="str">
        <f>IF(종목!A29="","",종목!A29)</f>
      </c>
      <c r="B29" s="11" t="str">
        <f>IF(종목!B29="","",종목!B29)</f>
      </c>
      <c r="C29" s="11" t="str">
        <f>IF(종목!$A29="","",IF(종목!G29="","상장/정지",IF(종목!G29=0,"폐지(-100%)",IF(OR(종목!F29="",종목!F29=0),"신규상장",IFERROR(TEXT(종목!G29/종목!F29-1,"+0%;-0%"),"—")))))</f>
      </c>
      <c r="D29" s="11" t="str">
        <f>IF(종목!$A29="","",IF(종목!H29="","상장/정지",IF(종목!H29=0,"폐지(-100%)",IF(OR(종목!G29="",종목!G29=0),"신규상장",IFERROR(TEXT(종목!H29/종목!G29-1,"+0%;-0%"),"—")))))</f>
      </c>
      <c r="E29" s="11" t="str">
        <f>IF(종목!$A29="","",IF(종목!I29="","상장/정지",IF(종목!I29=0,"폐지(-100%)",IF(OR(종목!H29="",종목!H29=0),"신규상장",IFERROR(TEXT(종목!I29/종목!H29-1,"+0%;-0%"),"—")))))</f>
      </c>
      <c r="F29" s="11" t="str">
        <f>IF(종목!$A29="","",IF(종목!J29="","상장/정지",IF(종목!J29=0,"폐지(-100%)",IF(OR(종목!I29="",종목!I29=0),"신규상장",IFERROR(TEXT(종목!J29/종목!I29-1,"+0%;-0%"),"—")))))</f>
      </c>
      <c r="G29" s="11" t="str">
        <f>IF(종목!$A29="","",IF(종목!K29="","상장/정지",IF(종목!K29=0,"폐지(-100%)",IF(OR(종목!J29="",종목!J29=0),"신규상장",IFERROR(TEXT(종목!K29/종목!J29-1,"+0%;-0%"),"—")))))</f>
      </c>
    </row>
    <row r="30">
      <c r="A30" s="11" t="str">
        <f>IF(종목!A30="","",종목!A30)</f>
      </c>
      <c r="B30" s="11" t="str">
        <f>IF(종목!B30="","",종목!B30)</f>
      </c>
      <c r="C30" s="11" t="str">
        <f>IF(종목!$A30="","",IF(종목!G30="","상장/정지",IF(종목!G30=0,"폐지(-100%)",IF(OR(종목!F30="",종목!F30=0),"신규상장",IFERROR(TEXT(종목!G30/종목!F30-1,"+0%;-0%"),"—")))))</f>
      </c>
      <c r="D30" s="11" t="str">
        <f>IF(종목!$A30="","",IF(종목!H30="","상장/정지",IF(종목!H30=0,"폐지(-100%)",IF(OR(종목!G30="",종목!G30=0),"신규상장",IFERROR(TEXT(종목!H30/종목!G30-1,"+0%;-0%"),"—")))))</f>
      </c>
      <c r="E30" s="11" t="str">
        <f>IF(종목!$A30="","",IF(종목!I30="","상장/정지",IF(종목!I30=0,"폐지(-100%)",IF(OR(종목!H30="",종목!H30=0),"신규상장",IFERROR(TEXT(종목!I30/종목!H30-1,"+0%;-0%"),"—")))))</f>
      </c>
      <c r="F30" s="11" t="str">
        <f>IF(종목!$A30="","",IF(종목!J30="","상장/정지",IF(종목!J30=0,"폐지(-100%)",IF(OR(종목!I30="",종목!I30=0),"신규상장",IFERROR(TEXT(종목!J30/종목!I30-1,"+0%;-0%"),"—")))))</f>
      </c>
      <c r="G30" s="11" t="str">
        <f>IF(종목!$A30="","",IF(종목!K30="","상장/정지",IF(종목!K30=0,"폐지(-100%)",IF(OR(종목!J30="",종목!J30=0),"신규상장",IFERROR(TEXT(종목!K30/종목!J30-1,"+0%;-0%"),"—")))))</f>
      </c>
    </row>
    <row r="31">
      <c r="A31" s="11" t="str">
        <f>IF(종목!A31="","",종목!A31)</f>
      </c>
      <c r="B31" s="11" t="str">
        <f>IF(종목!B31="","",종목!B31)</f>
      </c>
      <c r="C31" s="11" t="str">
        <f>IF(종목!$A31="","",IF(종목!G31="","상장/정지",IF(종목!G31=0,"폐지(-100%)",IF(OR(종목!F31="",종목!F31=0),"신규상장",IFERROR(TEXT(종목!G31/종목!F31-1,"+0%;-0%"),"—")))))</f>
      </c>
      <c r="D31" s="11" t="str">
        <f>IF(종목!$A31="","",IF(종목!H31="","상장/정지",IF(종목!H31=0,"폐지(-100%)",IF(OR(종목!G31="",종목!G31=0),"신규상장",IFERROR(TEXT(종목!H31/종목!G31-1,"+0%;-0%"),"—")))))</f>
      </c>
      <c r="E31" s="11" t="str">
        <f>IF(종목!$A31="","",IF(종목!I31="","상장/정지",IF(종목!I31=0,"폐지(-100%)",IF(OR(종목!H31="",종목!H31=0),"신규상장",IFERROR(TEXT(종목!I31/종목!H31-1,"+0%;-0%"),"—")))))</f>
      </c>
      <c r="F31" s="11" t="str">
        <f>IF(종목!$A31="","",IF(종목!J31="","상장/정지",IF(종목!J31=0,"폐지(-100%)",IF(OR(종목!I31="",종목!I31=0),"신규상장",IFERROR(TEXT(종목!J31/종목!I31-1,"+0%;-0%"),"—")))))</f>
      </c>
      <c r="G31" s="11" t="str">
        <f>IF(종목!$A31="","",IF(종목!K31="","상장/정지",IF(종목!K31=0,"폐지(-100%)",IF(OR(종목!J31="",종목!J31=0),"신규상장",IFERROR(TEXT(종목!K31/종목!J31-1,"+0%;-0%"),"—")))))</f>
      </c>
    </row>
    <row r="32">
      <c r="A32" s="11" t="str">
        <f>IF(종목!A32="","",종목!A32)</f>
      </c>
      <c r="B32" s="11" t="str">
        <f>IF(종목!B32="","",종목!B32)</f>
      </c>
      <c r="C32" s="11" t="str">
        <f>IF(종목!$A32="","",IF(종목!G32="","상장/정지",IF(종목!G32=0,"폐지(-100%)",IF(OR(종목!F32="",종목!F32=0),"신규상장",IFERROR(TEXT(종목!G32/종목!F32-1,"+0%;-0%"),"—")))))</f>
      </c>
      <c r="D32" s="11" t="str">
        <f>IF(종목!$A32="","",IF(종목!H32="","상장/정지",IF(종목!H32=0,"폐지(-100%)",IF(OR(종목!G32="",종목!G32=0),"신규상장",IFERROR(TEXT(종목!H32/종목!G32-1,"+0%;-0%"),"—")))))</f>
      </c>
      <c r="E32" s="11" t="str">
        <f>IF(종목!$A32="","",IF(종목!I32="","상장/정지",IF(종목!I32=0,"폐지(-100%)",IF(OR(종목!H32="",종목!H32=0),"신규상장",IFERROR(TEXT(종목!I32/종목!H32-1,"+0%;-0%"),"—")))))</f>
      </c>
      <c r="F32" s="11" t="str">
        <f>IF(종목!$A32="","",IF(종목!J32="","상장/정지",IF(종목!J32=0,"폐지(-100%)",IF(OR(종목!I32="",종목!I32=0),"신규상장",IFERROR(TEXT(종목!J32/종목!I32-1,"+0%;-0%"),"—")))))</f>
      </c>
      <c r="G32" s="11" t="str">
        <f>IF(종목!$A32="","",IF(종목!K32="","상장/정지",IF(종목!K32=0,"폐지(-100%)",IF(OR(종목!J32="",종목!J32=0),"신규상장",IFERROR(TEXT(종목!K32/종목!J32-1,"+0%;-0%"),"—")))))</f>
      </c>
    </row>
    <row r="33">
      <c r="A33" s="11" t="str">
        <f>IF(종목!A33="","",종목!A33)</f>
      </c>
      <c r="B33" s="11" t="str">
        <f>IF(종목!B33="","",종목!B33)</f>
      </c>
      <c r="C33" s="11" t="str">
        <f>IF(종목!$A33="","",IF(종목!G33="","상장/정지",IF(종목!G33=0,"폐지(-100%)",IF(OR(종목!F33="",종목!F33=0),"신규상장",IFERROR(TEXT(종목!G33/종목!F33-1,"+0%;-0%"),"—")))))</f>
      </c>
      <c r="D33" s="11" t="str">
        <f>IF(종목!$A33="","",IF(종목!H33="","상장/정지",IF(종목!H33=0,"폐지(-100%)",IF(OR(종목!G33="",종목!G33=0),"신규상장",IFERROR(TEXT(종목!H33/종목!G33-1,"+0%;-0%"),"—")))))</f>
      </c>
      <c r="E33" s="11" t="str">
        <f>IF(종목!$A33="","",IF(종목!I33="","상장/정지",IF(종목!I33=0,"폐지(-100%)",IF(OR(종목!H33="",종목!H33=0),"신규상장",IFERROR(TEXT(종목!I33/종목!H33-1,"+0%;-0%"),"—")))))</f>
      </c>
      <c r="F33" s="11" t="str">
        <f>IF(종목!$A33="","",IF(종목!J33="","상장/정지",IF(종목!J33=0,"폐지(-100%)",IF(OR(종목!I33="",종목!I33=0),"신규상장",IFERROR(TEXT(종목!J33/종목!I33-1,"+0%;-0%"),"—")))))</f>
      </c>
      <c r="G33" s="11" t="str">
        <f>IF(종목!$A33="","",IF(종목!K33="","상장/정지",IF(종목!K33=0,"폐지(-100%)",IF(OR(종목!J33="",종목!J33=0),"신규상장",IFERROR(TEXT(종목!K33/종목!J33-1,"+0%;-0%"),"—")))))</f>
      </c>
    </row>
    <row r="34">
      <c r="A34" s="11" t="str">
        <f>IF(종목!A34="","",종목!A34)</f>
      </c>
      <c r="B34" s="11" t="str">
        <f>IF(종목!B34="","",종목!B34)</f>
      </c>
      <c r="C34" s="11" t="str">
        <f>IF(종목!$A34="","",IF(종목!G34="","상장/정지",IF(종목!G34=0,"폐지(-100%)",IF(OR(종목!F34="",종목!F34=0),"신규상장",IFERROR(TEXT(종목!G34/종목!F34-1,"+0%;-0%"),"—")))))</f>
      </c>
      <c r="D34" s="11" t="str">
        <f>IF(종목!$A34="","",IF(종목!H34="","상장/정지",IF(종목!H34=0,"폐지(-100%)",IF(OR(종목!G34="",종목!G34=0),"신규상장",IFERROR(TEXT(종목!H34/종목!G34-1,"+0%;-0%"),"—")))))</f>
      </c>
      <c r="E34" s="11" t="str">
        <f>IF(종목!$A34="","",IF(종목!I34="","상장/정지",IF(종목!I34=0,"폐지(-100%)",IF(OR(종목!H34="",종목!H34=0),"신규상장",IFERROR(TEXT(종목!I34/종목!H34-1,"+0%;-0%"),"—")))))</f>
      </c>
      <c r="F34" s="11" t="str">
        <f>IF(종목!$A34="","",IF(종목!J34="","상장/정지",IF(종목!J34=0,"폐지(-100%)",IF(OR(종목!I34="",종목!I34=0),"신규상장",IFERROR(TEXT(종목!J34/종목!I34-1,"+0%;-0%"),"—")))))</f>
      </c>
      <c r="G34" s="11" t="str">
        <f>IF(종목!$A34="","",IF(종목!K34="","상장/정지",IF(종목!K34=0,"폐지(-100%)",IF(OR(종목!J34="",종목!J34=0),"신규상장",IFERROR(TEXT(종목!K34/종목!J34-1,"+0%;-0%"),"—")))))</f>
      </c>
    </row>
    <row r="35">
      <c r="A35" s="11" t="str">
        <f>IF(종목!A35="","",종목!A35)</f>
      </c>
      <c r="B35" s="11" t="str">
        <f>IF(종목!B35="","",종목!B35)</f>
      </c>
      <c r="C35" s="11" t="str">
        <f>IF(종목!$A35="","",IF(종목!G35="","상장/정지",IF(종목!G35=0,"폐지(-100%)",IF(OR(종목!F35="",종목!F35=0),"신규상장",IFERROR(TEXT(종목!G35/종목!F35-1,"+0%;-0%"),"—")))))</f>
      </c>
      <c r="D35" s="11" t="str">
        <f>IF(종목!$A35="","",IF(종목!H35="","상장/정지",IF(종목!H35=0,"폐지(-100%)",IF(OR(종목!G35="",종목!G35=0),"신규상장",IFERROR(TEXT(종목!H35/종목!G35-1,"+0%;-0%"),"—")))))</f>
      </c>
      <c r="E35" s="11" t="str">
        <f>IF(종목!$A35="","",IF(종목!I35="","상장/정지",IF(종목!I35=0,"폐지(-100%)",IF(OR(종목!H35="",종목!H35=0),"신규상장",IFERROR(TEXT(종목!I35/종목!H35-1,"+0%;-0%"),"—")))))</f>
      </c>
      <c r="F35" s="11" t="str">
        <f>IF(종목!$A35="","",IF(종목!J35="","상장/정지",IF(종목!J35=0,"폐지(-100%)",IF(OR(종목!I35="",종목!I35=0),"신규상장",IFERROR(TEXT(종목!J35/종목!I35-1,"+0%;-0%"),"—")))))</f>
      </c>
      <c r="G35" s="11" t="str">
        <f>IF(종목!$A35="","",IF(종목!K35="","상장/정지",IF(종목!K35=0,"폐지(-100%)",IF(OR(종목!J35="",종목!J35=0),"신규상장",IFERROR(TEXT(종목!K35/종목!J35-1,"+0%;-0%"),"—")))))</f>
      </c>
    </row>
    <row r="36">
      <c r="A36" s="11" t="str">
        <f>IF(종목!A36="","",종목!A36)</f>
      </c>
      <c r="B36" s="11" t="str">
        <f>IF(종목!B36="","",종목!B36)</f>
      </c>
      <c r="C36" s="11" t="str">
        <f>IF(종목!$A36="","",IF(종목!G36="","상장/정지",IF(종목!G36=0,"폐지(-100%)",IF(OR(종목!F36="",종목!F36=0),"신규상장",IFERROR(TEXT(종목!G36/종목!F36-1,"+0%;-0%"),"—")))))</f>
      </c>
      <c r="D36" s="11" t="str">
        <f>IF(종목!$A36="","",IF(종목!H36="","상장/정지",IF(종목!H36=0,"폐지(-100%)",IF(OR(종목!G36="",종목!G36=0),"신규상장",IFERROR(TEXT(종목!H36/종목!G36-1,"+0%;-0%"),"—")))))</f>
      </c>
      <c r="E36" s="11" t="str">
        <f>IF(종목!$A36="","",IF(종목!I36="","상장/정지",IF(종목!I36=0,"폐지(-100%)",IF(OR(종목!H36="",종목!H36=0),"신규상장",IFERROR(TEXT(종목!I36/종목!H36-1,"+0%;-0%"),"—")))))</f>
      </c>
      <c r="F36" s="11" t="str">
        <f>IF(종목!$A36="","",IF(종목!J36="","상장/정지",IF(종목!J36=0,"폐지(-100%)",IF(OR(종목!I36="",종목!I36=0),"신규상장",IFERROR(TEXT(종목!J36/종목!I36-1,"+0%;-0%"),"—")))))</f>
      </c>
      <c r="G36" s="11" t="str">
        <f>IF(종목!$A36="","",IF(종목!K36="","상장/정지",IF(종목!K36=0,"폐지(-100%)",IF(OR(종목!J36="",종목!J36=0),"신규상장",IFERROR(TEXT(종목!K36/종목!J36-1,"+0%;-0%"),"—")))))</f>
      </c>
    </row>
    <row r="37">
      <c r="A37" s="11" t="str">
        <f>IF(종목!A37="","",종목!A37)</f>
      </c>
      <c r="B37" s="11" t="str">
        <f>IF(종목!B37="","",종목!B37)</f>
      </c>
      <c r="C37" s="11" t="str">
        <f>IF(종목!$A37="","",IF(종목!G37="","상장/정지",IF(종목!G37=0,"폐지(-100%)",IF(OR(종목!F37="",종목!F37=0),"신규상장",IFERROR(TEXT(종목!G37/종목!F37-1,"+0%;-0%"),"—")))))</f>
      </c>
      <c r="D37" s="11" t="str">
        <f>IF(종목!$A37="","",IF(종목!H37="","상장/정지",IF(종목!H37=0,"폐지(-100%)",IF(OR(종목!G37="",종목!G37=0),"신규상장",IFERROR(TEXT(종목!H37/종목!G37-1,"+0%;-0%"),"—")))))</f>
      </c>
      <c r="E37" s="11" t="str">
        <f>IF(종목!$A37="","",IF(종목!I37="","상장/정지",IF(종목!I37=0,"폐지(-100%)",IF(OR(종목!H37="",종목!H37=0),"신규상장",IFERROR(TEXT(종목!I37/종목!H37-1,"+0%;-0%"),"—")))))</f>
      </c>
      <c r="F37" s="11" t="str">
        <f>IF(종목!$A37="","",IF(종목!J37="","상장/정지",IF(종목!J37=0,"폐지(-100%)",IF(OR(종목!I37="",종목!I37=0),"신규상장",IFERROR(TEXT(종목!J37/종목!I37-1,"+0%;-0%"),"—")))))</f>
      </c>
      <c r="G37" s="11" t="str">
        <f>IF(종목!$A37="","",IF(종목!K37="","상장/정지",IF(종목!K37=0,"폐지(-100%)",IF(OR(종목!J37="",종목!J37=0),"신규상장",IFERROR(TEXT(종목!K37/종목!J37-1,"+0%;-0%"),"—")))))</f>
      </c>
    </row>
    <row r="38">
      <c r="A38" s="11" t="str">
        <f>IF(종목!A38="","",종목!A38)</f>
      </c>
      <c r="B38" s="11" t="str">
        <f>IF(종목!B38="","",종목!B38)</f>
      </c>
      <c r="C38" s="11" t="str">
        <f>IF(종목!$A38="","",IF(종목!G38="","상장/정지",IF(종목!G38=0,"폐지(-100%)",IF(OR(종목!F38="",종목!F38=0),"신규상장",IFERROR(TEXT(종목!G38/종목!F38-1,"+0%;-0%"),"—")))))</f>
      </c>
      <c r="D38" s="11" t="str">
        <f>IF(종목!$A38="","",IF(종목!H38="","상장/정지",IF(종목!H38=0,"폐지(-100%)",IF(OR(종목!G38="",종목!G38=0),"신규상장",IFERROR(TEXT(종목!H38/종목!G38-1,"+0%;-0%"),"—")))))</f>
      </c>
      <c r="E38" s="11" t="str">
        <f>IF(종목!$A38="","",IF(종목!I38="","상장/정지",IF(종목!I38=0,"폐지(-100%)",IF(OR(종목!H38="",종목!H38=0),"신규상장",IFERROR(TEXT(종목!I38/종목!H38-1,"+0%;-0%"),"—")))))</f>
      </c>
      <c r="F38" s="11" t="str">
        <f>IF(종목!$A38="","",IF(종목!J38="","상장/정지",IF(종목!J38=0,"폐지(-100%)",IF(OR(종목!I38="",종목!I38=0),"신규상장",IFERROR(TEXT(종목!J38/종목!I38-1,"+0%;-0%"),"—")))))</f>
      </c>
      <c r="G38" s="11" t="str">
        <f>IF(종목!$A38="","",IF(종목!K38="","상장/정지",IF(종목!K38=0,"폐지(-100%)",IF(OR(종목!J38="",종목!J38=0),"신규상장",IFERROR(TEXT(종목!K38/종목!J38-1,"+0%;-0%"),"—")))))</f>
      </c>
    </row>
    <row r="39">
      <c r="A39" s="11" t="str">
        <f>IF(종목!A39="","",종목!A39)</f>
      </c>
      <c r="B39" s="11" t="str">
        <f>IF(종목!B39="","",종목!B39)</f>
      </c>
      <c r="C39" s="11" t="str">
        <f>IF(종목!$A39="","",IF(종목!G39="","상장/정지",IF(종목!G39=0,"폐지(-100%)",IF(OR(종목!F39="",종목!F39=0),"신규상장",IFERROR(TEXT(종목!G39/종목!F39-1,"+0%;-0%"),"—")))))</f>
      </c>
      <c r="D39" s="11" t="str">
        <f>IF(종목!$A39="","",IF(종목!H39="","상장/정지",IF(종목!H39=0,"폐지(-100%)",IF(OR(종목!G39="",종목!G39=0),"신규상장",IFERROR(TEXT(종목!H39/종목!G39-1,"+0%;-0%"),"—")))))</f>
      </c>
      <c r="E39" s="11" t="str">
        <f>IF(종목!$A39="","",IF(종목!I39="","상장/정지",IF(종목!I39=0,"폐지(-100%)",IF(OR(종목!H39="",종목!H39=0),"신규상장",IFERROR(TEXT(종목!I39/종목!H39-1,"+0%;-0%"),"—")))))</f>
      </c>
      <c r="F39" s="11" t="str">
        <f>IF(종목!$A39="","",IF(종목!J39="","상장/정지",IF(종목!J39=0,"폐지(-100%)",IF(OR(종목!I39="",종목!I39=0),"신규상장",IFERROR(TEXT(종목!J39/종목!I39-1,"+0%;-0%"),"—")))))</f>
      </c>
      <c r="G39" s="11" t="str">
        <f>IF(종목!$A39="","",IF(종목!K39="","상장/정지",IF(종목!K39=0,"폐지(-100%)",IF(OR(종목!J39="",종목!J39=0),"신규상장",IFERROR(TEXT(종목!K39/종목!J39-1,"+0%;-0%"),"—")))))</f>
      </c>
    </row>
    <row r="40">
      <c r="A40" s="11" t="str">
        <f>IF(종목!A40="","",종목!A40)</f>
      </c>
      <c r="B40" s="11" t="str">
        <f>IF(종목!B40="","",종목!B40)</f>
      </c>
      <c r="C40" s="11" t="str">
        <f>IF(종목!$A40="","",IF(종목!G40="","상장/정지",IF(종목!G40=0,"폐지(-100%)",IF(OR(종목!F40="",종목!F40=0),"신규상장",IFERROR(TEXT(종목!G40/종목!F40-1,"+0%;-0%"),"—")))))</f>
      </c>
      <c r="D40" s="11" t="str">
        <f>IF(종목!$A40="","",IF(종목!H40="","상장/정지",IF(종목!H40=0,"폐지(-100%)",IF(OR(종목!G40="",종목!G40=0),"신규상장",IFERROR(TEXT(종목!H40/종목!G40-1,"+0%;-0%"),"—")))))</f>
      </c>
      <c r="E40" s="11" t="str">
        <f>IF(종목!$A40="","",IF(종목!I40="","상장/정지",IF(종목!I40=0,"폐지(-100%)",IF(OR(종목!H40="",종목!H40=0),"신규상장",IFERROR(TEXT(종목!I40/종목!H40-1,"+0%;-0%"),"—")))))</f>
      </c>
      <c r="F40" s="11" t="str">
        <f>IF(종목!$A40="","",IF(종목!J40="","상장/정지",IF(종목!J40=0,"폐지(-100%)",IF(OR(종목!I40="",종목!I40=0),"신규상장",IFERROR(TEXT(종목!J40/종목!I40-1,"+0%;-0%"),"—")))))</f>
      </c>
      <c r="G40" s="11" t="str">
        <f>IF(종목!$A40="","",IF(종목!K40="","상장/정지",IF(종목!K40=0,"폐지(-100%)",IF(OR(종목!J40="",종목!J40=0),"신규상장",IFERROR(TEXT(종목!K40/종목!J40-1,"+0%;-0%"),"—")))))</f>
      </c>
    </row>
    <row r="41">
      <c r="A41" s="11" t="str">
        <f>IF(종목!A41="","",종목!A41)</f>
      </c>
      <c r="B41" s="11" t="str">
        <f>IF(종목!B41="","",종목!B41)</f>
      </c>
      <c r="C41" s="11" t="str">
        <f>IF(종목!$A41="","",IF(종목!G41="","상장/정지",IF(종목!G41=0,"폐지(-100%)",IF(OR(종목!F41="",종목!F41=0),"신규상장",IFERROR(TEXT(종목!G41/종목!F41-1,"+0%;-0%"),"—")))))</f>
      </c>
      <c r="D41" s="11" t="str">
        <f>IF(종목!$A41="","",IF(종목!H41="","상장/정지",IF(종목!H41=0,"폐지(-100%)",IF(OR(종목!G41="",종목!G41=0),"신규상장",IFERROR(TEXT(종목!H41/종목!G41-1,"+0%;-0%"),"—")))))</f>
      </c>
      <c r="E41" s="11" t="str">
        <f>IF(종목!$A41="","",IF(종목!I41="","상장/정지",IF(종목!I41=0,"폐지(-100%)",IF(OR(종목!H41="",종목!H41=0),"신규상장",IFERROR(TEXT(종목!I41/종목!H41-1,"+0%;-0%"),"—")))))</f>
      </c>
      <c r="F41" s="11" t="str">
        <f>IF(종목!$A41="","",IF(종목!J41="","상장/정지",IF(종목!J41=0,"폐지(-100%)",IF(OR(종목!I41="",종목!I41=0),"신규상장",IFERROR(TEXT(종목!J41/종목!I41-1,"+0%;-0%"),"—")))))</f>
      </c>
      <c r="G41" s="11" t="str">
        <f>IF(종목!$A41="","",IF(종목!K41="","상장/정지",IF(종목!K41=0,"폐지(-100%)",IF(OR(종목!J41="",종목!J41=0),"신규상장",IFERROR(TEXT(종목!K41/종목!J41-1,"+0%;-0%"),"—")))))</f>
      </c>
    </row>
    <row r="42">
      <c r="A42" s="11" t="str">
        <f>IF(종목!A42="","",종목!A42)</f>
      </c>
      <c r="B42" s="11" t="str">
        <f>IF(종목!B42="","",종목!B42)</f>
      </c>
      <c r="C42" s="11" t="str">
        <f>IF(종목!$A42="","",IF(종목!G42="","상장/정지",IF(종목!G42=0,"폐지(-100%)",IF(OR(종목!F42="",종목!F42=0),"신규상장",IFERROR(TEXT(종목!G42/종목!F42-1,"+0%;-0%"),"—")))))</f>
      </c>
      <c r="D42" s="11" t="str">
        <f>IF(종목!$A42="","",IF(종목!H42="","상장/정지",IF(종목!H42=0,"폐지(-100%)",IF(OR(종목!G42="",종목!G42=0),"신규상장",IFERROR(TEXT(종목!H42/종목!G42-1,"+0%;-0%"),"—")))))</f>
      </c>
      <c r="E42" s="11" t="str">
        <f>IF(종목!$A42="","",IF(종목!I42="","상장/정지",IF(종목!I42=0,"폐지(-100%)",IF(OR(종목!H42="",종목!H42=0),"신규상장",IFERROR(TEXT(종목!I42/종목!H42-1,"+0%;-0%"),"—")))))</f>
      </c>
      <c r="F42" s="11" t="str">
        <f>IF(종목!$A42="","",IF(종목!J42="","상장/정지",IF(종목!J42=0,"폐지(-100%)",IF(OR(종목!I42="",종목!I42=0),"신규상장",IFERROR(TEXT(종목!J42/종목!I42-1,"+0%;-0%"),"—")))))</f>
      </c>
      <c r="G42" s="11" t="str">
        <f>IF(종목!$A42="","",IF(종목!K42="","상장/정지",IF(종목!K42=0,"폐지(-100%)",IF(OR(종목!J42="",종목!J42=0),"신규상장",IFERROR(TEXT(종목!K42/종목!J42-1,"+0%;-0%"),"—")))))</f>
      </c>
    </row>
    <row r="43">
      <c r="A43" s="11" t="str">
        <f>IF(종목!A43="","",종목!A43)</f>
      </c>
      <c r="B43" s="11" t="str">
        <f>IF(종목!B43="","",종목!B43)</f>
      </c>
      <c r="C43" s="11" t="str">
        <f>IF(종목!$A43="","",IF(종목!G43="","상장/정지",IF(종목!G43=0,"폐지(-100%)",IF(OR(종목!F43="",종목!F43=0),"신규상장",IFERROR(TEXT(종목!G43/종목!F43-1,"+0%;-0%"),"—")))))</f>
      </c>
      <c r="D43" s="11" t="str">
        <f>IF(종목!$A43="","",IF(종목!H43="","상장/정지",IF(종목!H43=0,"폐지(-100%)",IF(OR(종목!G43="",종목!G43=0),"신규상장",IFERROR(TEXT(종목!H43/종목!G43-1,"+0%;-0%"),"—")))))</f>
      </c>
      <c r="E43" s="11" t="str">
        <f>IF(종목!$A43="","",IF(종목!I43="","상장/정지",IF(종목!I43=0,"폐지(-100%)",IF(OR(종목!H43="",종목!H43=0),"신규상장",IFERROR(TEXT(종목!I43/종목!H43-1,"+0%;-0%"),"—")))))</f>
      </c>
      <c r="F43" s="11" t="str">
        <f>IF(종목!$A43="","",IF(종목!J43="","상장/정지",IF(종목!J43=0,"폐지(-100%)",IF(OR(종목!I43="",종목!I43=0),"신규상장",IFERROR(TEXT(종목!J43/종목!I43-1,"+0%;-0%"),"—")))))</f>
      </c>
      <c r="G43" s="11" t="str">
        <f>IF(종목!$A43="","",IF(종목!K43="","상장/정지",IF(종목!K43=0,"폐지(-100%)",IF(OR(종목!J43="",종목!J43=0),"신규상장",IFERROR(TEXT(종목!K43/종목!J43-1,"+0%;-0%"),"—")))))</f>
      </c>
    </row>
    <row r="44">
      <c r="A44" s="11" t="str">
        <f>IF(종목!A44="","",종목!A44)</f>
      </c>
      <c r="B44" s="11" t="str">
        <f>IF(종목!B44="","",종목!B44)</f>
      </c>
      <c r="C44" s="11" t="str">
        <f>IF(종목!$A44="","",IF(종목!G44="","상장/정지",IF(종목!G44=0,"폐지(-100%)",IF(OR(종목!F44="",종목!F44=0),"신규상장",IFERROR(TEXT(종목!G44/종목!F44-1,"+0%;-0%"),"—")))))</f>
      </c>
      <c r="D44" s="11" t="str">
        <f>IF(종목!$A44="","",IF(종목!H44="","상장/정지",IF(종목!H44=0,"폐지(-100%)",IF(OR(종목!G44="",종목!G44=0),"신규상장",IFERROR(TEXT(종목!H44/종목!G44-1,"+0%;-0%"),"—")))))</f>
      </c>
      <c r="E44" s="11" t="str">
        <f>IF(종목!$A44="","",IF(종목!I44="","상장/정지",IF(종목!I44=0,"폐지(-100%)",IF(OR(종목!H44="",종목!H44=0),"신규상장",IFERROR(TEXT(종목!I44/종목!H44-1,"+0%;-0%"),"—")))))</f>
      </c>
      <c r="F44" s="11" t="str">
        <f>IF(종목!$A44="","",IF(종목!J44="","상장/정지",IF(종목!J44=0,"폐지(-100%)",IF(OR(종목!I44="",종목!I44=0),"신규상장",IFERROR(TEXT(종목!J44/종목!I44-1,"+0%;-0%"),"—")))))</f>
      </c>
      <c r="G44" s="11" t="str">
        <f>IF(종목!$A44="","",IF(종목!K44="","상장/정지",IF(종목!K44=0,"폐지(-100%)",IF(OR(종목!J44="",종목!J44=0),"신규상장",IFERROR(TEXT(종목!K44/종목!J44-1,"+0%;-0%"),"—")))))</f>
      </c>
    </row>
    <row r="45">
      <c r="A45" s="11" t="str">
        <f>IF(종목!A45="","",종목!A45)</f>
      </c>
      <c r="B45" s="11" t="str">
        <f>IF(종목!B45="","",종목!B45)</f>
      </c>
      <c r="C45" s="11" t="str">
        <f>IF(종목!$A45="","",IF(종목!G45="","상장/정지",IF(종목!G45=0,"폐지(-100%)",IF(OR(종목!F45="",종목!F45=0),"신규상장",IFERROR(TEXT(종목!G45/종목!F45-1,"+0%;-0%"),"—")))))</f>
      </c>
      <c r="D45" s="11" t="str">
        <f>IF(종목!$A45="","",IF(종목!H45="","상장/정지",IF(종목!H45=0,"폐지(-100%)",IF(OR(종목!G45="",종목!G45=0),"신규상장",IFERROR(TEXT(종목!H45/종목!G45-1,"+0%;-0%"),"—")))))</f>
      </c>
      <c r="E45" s="11" t="str">
        <f>IF(종목!$A45="","",IF(종목!I45="","상장/정지",IF(종목!I45=0,"폐지(-100%)",IF(OR(종목!H45="",종목!H45=0),"신규상장",IFERROR(TEXT(종목!I45/종목!H45-1,"+0%;-0%"),"—")))))</f>
      </c>
      <c r="F45" s="11" t="str">
        <f>IF(종목!$A45="","",IF(종목!J45="","상장/정지",IF(종목!J45=0,"폐지(-100%)",IF(OR(종목!I45="",종목!I45=0),"신규상장",IFERROR(TEXT(종목!J45/종목!I45-1,"+0%;-0%"),"—")))))</f>
      </c>
      <c r="G45" s="11" t="str">
        <f>IF(종목!$A45="","",IF(종목!K45="","상장/정지",IF(종목!K45=0,"폐지(-100%)",IF(OR(종목!J45="",종목!J45=0),"신규상장",IFERROR(TEXT(종목!K45/종목!J45-1,"+0%;-0%"),"—")))))</f>
      </c>
    </row>
    <row r="46">
      <c r="A46" s="11" t="str">
        <f>IF(종목!A46="","",종목!A46)</f>
      </c>
      <c r="B46" s="11" t="str">
        <f>IF(종목!B46="","",종목!B46)</f>
      </c>
      <c r="C46" s="11" t="str">
        <f>IF(종목!$A46="","",IF(종목!G46="","상장/정지",IF(종목!G46=0,"폐지(-100%)",IF(OR(종목!F46="",종목!F46=0),"신규상장",IFERROR(TEXT(종목!G46/종목!F46-1,"+0%;-0%"),"—")))))</f>
      </c>
      <c r="D46" s="11" t="str">
        <f>IF(종목!$A46="","",IF(종목!H46="","상장/정지",IF(종목!H46=0,"폐지(-100%)",IF(OR(종목!G46="",종목!G46=0),"신규상장",IFERROR(TEXT(종목!H46/종목!G46-1,"+0%;-0%"),"—")))))</f>
      </c>
      <c r="E46" s="11" t="str">
        <f>IF(종목!$A46="","",IF(종목!I46="","상장/정지",IF(종목!I46=0,"폐지(-100%)",IF(OR(종목!H46="",종목!H46=0),"신규상장",IFERROR(TEXT(종목!I46/종목!H46-1,"+0%;-0%"),"—")))))</f>
      </c>
      <c r="F46" s="11" t="str">
        <f>IF(종목!$A46="","",IF(종목!J46="","상장/정지",IF(종목!J46=0,"폐지(-100%)",IF(OR(종목!I46="",종목!I46=0),"신규상장",IFERROR(TEXT(종목!J46/종목!I46-1,"+0%;-0%"),"—")))))</f>
      </c>
      <c r="G46" s="11" t="str">
        <f>IF(종목!$A46="","",IF(종목!K46="","상장/정지",IF(종목!K46=0,"폐지(-100%)",IF(OR(종목!J46="",종목!J46=0),"신규상장",IFERROR(TEXT(종목!K46/종목!J46-1,"+0%;-0%"),"—")))))</f>
      </c>
    </row>
    <row r="47">
      <c r="A47" s="11" t="str">
        <f>IF(종목!A47="","",종목!A47)</f>
      </c>
      <c r="B47" s="11" t="str">
        <f>IF(종목!B47="","",종목!B47)</f>
      </c>
      <c r="C47" s="11" t="str">
        <f>IF(종목!$A47="","",IF(종목!G47="","상장/정지",IF(종목!G47=0,"폐지(-100%)",IF(OR(종목!F47="",종목!F47=0),"신규상장",IFERROR(TEXT(종목!G47/종목!F47-1,"+0%;-0%"),"—")))))</f>
      </c>
      <c r="D47" s="11" t="str">
        <f>IF(종목!$A47="","",IF(종목!H47="","상장/정지",IF(종목!H47=0,"폐지(-100%)",IF(OR(종목!G47="",종목!G47=0),"신규상장",IFERROR(TEXT(종목!H47/종목!G47-1,"+0%;-0%"),"—")))))</f>
      </c>
      <c r="E47" s="11" t="str">
        <f>IF(종목!$A47="","",IF(종목!I47="","상장/정지",IF(종목!I47=0,"폐지(-100%)",IF(OR(종목!H47="",종목!H47=0),"신규상장",IFERROR(TEXT(종목!I47/종목!H47-1,"+0%;-0%"),"—")))))</f>
      </c>
      <c r="F47" s="11" t="str">
        <f>IF(종목!$A47="","",IF(종목!J47="","상장/정지",IF(종목!J47=0,"폐지(-100%)",IF(OR(종목!I47="",종목!I47=0),"신규상장",IFERROR(TEXT(종목!J47/종목!I47-1,"+0%;-0%"),"—")))))</f>
      </c>
      <c r="G47" s="11" t="str">
        <f>IF(종목!$A47="","",IF(종목!K47="","상장/정지",IF(종목!K47=0,"폐지(-100%)",IF(OR(종목!J47="",종목!J47=0),"신규상장",IFERROR(TEXT(종목!K47/종목!J47-1,"+0%;-0%"),"—")))))</f>
      </c>
    </row>
    <row r="48">
      <c r="A48" s="11" t="str">
        <f>IF(종목!A48="","",종목!A48)</f>
      </c>
      <c r="B48" s="11" t="str">
        <f>IF(종목!B48="","",종목!B48)</f>
      </c>
      <c r="C48" s="11" t="str">
        <f>IF(종목!$A48="","",IF(종목!G48="","상장/정지",IF(종목!G48=0,"폐지(-100%)",IF(OR(종목!F48="",종목!F48=0),"신규상장",IFERROR(TEXT(종목!G48/종목!F48-1,"+0%;-0%"),"—")))))</f>
      </c>
      <c r="D48" s="11" t="str">
        <f>IF(종목!$A48="","",IF(종목!H48="","상장/정지",IF(종목!H48=0,"폐지(-100%)",IF(OR(종목!G48="",종목!G48=0),"신규상장",IFERROR(TEXT(종목!H48/종목!G48-1,"+0%;-0%"),"—")))))</f>
      </c>
      <c r="E48" s="11" t="str">
        <f>IF(종목!$A48="","",IF(종목!I48="","상장/정지",IF(종목!I48=0,"폐지(-100%)",IF(OR(종목!H48="",종목!H48=0),"신규상장",IFERROR(TEXT(종목!I48/종목!H48-1,"+0%;-0%"),"—")))))</f>
      </c>
      <c r="F48" s="11" t="str">
        <f>IF(종목!$A48="","",IF(종목!J48="","상장/정지",IF(종목!J48=0,"폐지(-100%)",IF(OR(종목!I48="",종목!I48=0),"신규상장",IFERROR(TEXT(종목!J48/종목!I48-1,"+0%;-0%"),"—")))))</f>
      </c>
      <c r="G48" s="11" t="str">
        <f>IF(종목!$A48="","",IF(종목!K48="","상장/정지",IF(종목!K48=0,"폐지(-100%)",IF(OR(종목!J48="",종목!J48=0),"신규상장",IFERROR(TEXT(종목!K48/종목!J48-1,"+0%;-0%"),"—")))))</f>
      </c>
    </row>
    <row r="49">
      <c r="A49" s="11" t="str">
        <f>IF(종목!A49="","",종목!A49)</f>
      </c>
      <c r="B49" s="11" t="str">
        <f>IF(종목!B49="","",종목!B49)</f>
      </c>
      <c r="C49" s="11" t="str">
        <f>IF(종목!$A49="","",IF(종목!G49="","상장/정지",IF(종목!G49=0,"폐지(-100%)",IF(OR(종목!F49="",종목!F49=0),"신규상장",IFERROR(TEXT(종목!G49/종목!F49-1,"+0%;-0%"),"—")))))</f>
      </c>
      <c r="D49" s="11" t="str">
        <f>IF(종목!$A49="","",IF(종목!H49="","상장/정지",IF(종목!H49=0,"폐지(-100%)",IF(OR(종목!G49="",종목!G49=0),"신규상장",IFERROR(TEXT(종목!H49/종목!G49-1,"+0%;-0%"),"—")))))</f>
      </c>
      <c r="E49" s="11" t="str">
        <f>IF(종목!$A49="","",IF(종목!I49="","상장/정지",IF(종목!I49=0,"폐지(-100%)",IF(OR(종목!H49="",종목!H49=0),"신규상장",IFERROR(TEXT(종목!I49/종목!H49-1,"+0%;-0%"),"—")))))</f>
      </c>
      <c r="F49" s="11" t="str">
        <f>IF(종목!$A49="","",IF(종목!J49="","상장/정지",IF(종목!J49=0,"폐지(-100%)",IF(OR(종목!I49="",종목!I49=0),"신규상장",IFERROR(TEXT(종목!J49/종목!I49-1,"+0%;-0%"),"—")))))</f>
      </c>
      <c r="G49" s="11" t="str">
        <f>IF(종목!$A49="","",IF(종목!K49="","상장/정지",IF(종목!K49=0,"폐지(-100%)",IF(OR(종목!J49="",종목!J49=0),"신규상장",IFERROR(TEXT(종목!K49/종목!J49-1,"+0%;-0%"),"—")))))</f>
      </c>
    </row>
    <row r="50">
      <c r="A50" s="11" t="str">
        <f>IF(종목!A50="","",종목!A50)</f>
      </c>
      <c r="B50" s="11" t="str">
        <f>IF(종목!B50="","",종목!B50)</f>
      </c>
      <c r="C50" s="11" t="str">
        <f>IF(종목!$A50="","",IF(종목!G50="","상장/정지",IF(종목!G50=0,"폐지(-100%)",IF(OR(종목!F50="",종목!F50=0),"신규상장",IFERROR(TEXT(종목!G50/종목!F50-1,"+0%;-0%"),"—")))))</f>
      </c>
      <c r="D50" s="11" t="str">
        <f>IF(종목!$A50="","",IF(종목!H50="","상장/정지",IF(종목!H50=0,"폐지(-100%)",IF(OR(종목!G50="",종목!G50=0),"신규상장",IFERROR(TEXT(종목!H50/종목!G50-1,"+0%;-0%"),"—")))))</f>
      </c>
      <c r="E50" s="11" t="str">
        <f>IF(종목!$A50="","",IF(종목!I50="","상장/정지",IF(종목!I50=0,"폐지(-100%)",IF(OR(종목!H50="",종목!H50=0),"신규상장",IFERROR(TEXT(종목!I50/종목!H50-1,"+0%;-0%"),"—")))))</f>
      </c>
      <c r="F50" s="11" t="str">
        <f>IF(종목!$A50="","",IF(종목!J50="","상장/정지",IF(종목!J50=0,"폐지(-100%)",IF(OR(종목!I50="",종목!I50=0),"신규상장",IFERROR(TEXT(종목!J50/종목!I50-1,"+0%;-0%"),"—")))))</f>
      </c>
      <c r="G50" s="11" t="str">
        <f>IF(종목!$A50="","",IF(종목!K50="","상장/정지",IF(종목!K50=0,"폐지(-100%)",IF(OR(종목!J50="",종목!J50=0),"신규상장",IFERROR(TEXT(종목!K50/종목!J50-1,"+0%;-0%"),"—")))))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2026-08-15T05:18:04Z</dcterms:created>
  <dcterms:modified xmlns:dcterms="http://purl.org/dc/terms/" xmlns:xsi="http://www.w3.org/2001/XMLSchema-instance" xsi:type="dcterms:W3CDTF">2026-08-20T04:49:27Z</dcterms:modified>
</cp:coreProperties>
</file>